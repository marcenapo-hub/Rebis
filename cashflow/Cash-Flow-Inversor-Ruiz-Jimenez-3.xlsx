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pción 1 · Participativo" sheetId="1" state="visible" r:id="rId1"/>
    <sheet name="Opción 2 · Sociedad propia" sheetId="2" state="visible" r:id="rId2"/>
  </sheets>
  <definedNames/>
  <calcPr calcId="124519" fullCalcOnLoad="1"/>
</workbook>
</file>

<file path=xl/styles.xml><?xml version="1.0" encoding="utf-8"?>
<styleSheet xmlns="http://schemas.openxmlformats.org/spreadsheetml/2006/main">
  <numFmts count="3">
    <numFmt numFmtId="164" formatCode="#,##0 &quot;€&quot;;(#,##0 &quot;€&quot;);—"/>
    <numFmt numFmtId="165" formatCode="#,##0.00 &quot;€&quot;;(#,##0.00 &quot;€&quot;);—"/>
    <numFmt numFmtId="166" formatCode="0.00&quot; %&quot;"/>
  </numFmts>
  <fonts count="13">
    <font>
      <name val="Calibri"/>
      <family val="2"/>
      <color theme="1"/>
      <sz val="11"/>
      <scheme val="minor"/>
    </font>
    <font>
      <name val="Arial"/>
      <b val="1"/>
      <color rgb="FF000000"/>
      <sz val="17"/>
    </font>
    <font>
      <name val="Arial"/>
      <color rgb="FF515150"/>
      <sz val="9.5"/>
    </font>
    <font>
      <name val="Arial"/>
      <b val="1"/>
      <color rgb="FFFFFFFF"/>
      <sz val="8.5"/>
    </font>
    <font>
      <name val="Arial"/>
      <color rgb="FF000000"/>
      <sz val="9"/>
    </font>
    <font>
      <name val="Arial"/>
      <b val="1"/>
      <color rgb="FF000000"/>
      <sz val="9"/>
    </font>
    <font>
      <name val="Arial"/>
      <b val="1"/>
      <color rgb="FF808282"/>
      <sz val="7.5"/>
    </font>
    <font>
      <name val="Arial"/>
      <color rgb="FF808282"/>
      <sz val="8.5"/>
    </font>
    <font>
      <name val="Arial"/>
      <b val="1"/>
      <color rgb="FF000000"/>
      <sz val="10"/>
    </font>
    <font>
      <name val="Arial"/>
      <b val="1"/>
      <color rgb="FFB59169"/>
      <sz val="10"/>
    </font>
    <font>
      <name val="Arial"/>
      <color rgb="FF515150"/>
      <sz val="8"/>
    </font>
    <font>
      <name val="Arial"/>
      <b val="1"/>
      <color rgb="FF000000"/>
      <sz val="8.5"/>
    </font>
    <font>
      <name val="Arial"/>
      <color rgb="FFB59169"/>
      <sz val="9"/>
    </font>
  </fonts>
  <fills count="5">
    <fill>
      <patternFill/>
    </fill>
    <fill>
      <patternFill patternType="gray125"/>
    </fill>
    <fill>
      <patternFill patternType="solid">
        <fgColor rgb="FF000000"/>
      </patternFill>
    </fill>
    <fill>
      <patternFill patternType="solid">
        <fgColor rgb="FFD7D1CA"/>
      </patternFill>
    </fill>
    <fill>
      <patternFill patternType="solid">
        <fgColor rgb="FFF0F1EF"/>
      </patternFill>
    </fill>
  </fills>
  <borders count="5">
    <border>
      <left/>
      <right/>
      <top/>
      <bottom/>
      <diagonal/>
    </border>
    <border>
      <bottom style="medium">
        <color rgb="FF000000"/>
      </bottom>
    </border>
    <border>
      <bottom style="hair">
        <color rgb="FFD7D1CA"/>
      </bottom>
    </border>
    <border>
      <bottom style="thin">
        <color rgb="FF000000"/>
      </bottom>
    </border>
    <border>
      <top style="thin">
        <color rgb="FF000000"/>
      </top>
    </border>
  </borders>
  <cellStyleXfs count="1">
    <xf numFmtId="0" fontId="0" fillId="0" borderId="0"/>
  </cellStyleXfs>
  <cellXfs count="33">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0" fillId="0" borderId="1" pivotButton="0" quotePrefix="0" xfId="0"/>
    <xf numFmtId="0" fontId="3" fillId="2" borderId="0" pivotButton="0" quotePrefix="0" xfId="0"/>
    <xf numFmtId="0" fontId="4" fillId="3" borderId="2" pivotButton="0" quotePrefix="0" xfId="0"/>
    <xf numFmtId="0" fontId="0" fillId="3" borderId="2" pivotButton="0" quotePrefix="0" xfId="0"/>
    <xf numFmtId="164" fontId="4" fillId="3" borderId="2" applyAlignment="1" pivotButton="0" quotePrefix="0" xfId="0">
      <alignment horizontal="right"/>
    </xf>
    <xf numFmtId="4" fontId="4" fillId="3" borderId="2" applyAlignment="1" pivotButton="0" quotePrefix="0" xfId="0">
      <alignment horizontal="right"/>
    </xf>
    <xf numFmtId="0" fontId="4" fillId="0" borderId="2" pivotButton="0" quotePrefix="0" xfId="0"/>
    <xf numFmtId="0" fontId="0" fillId="0" borderId="2" pivotButton="0" quotePrefix="0" xfId="0"/>
    <xf numFmtId="165" fontId="4" fillId="0" borderId="2" applyAlignment="1" pivotButton="0" quotePrefix="0" xfId="0">
      <alignment horizontal="right"/>
    </xf>
    <xf numFmtId="165" fontId="4" fillId="3" borderId="2" applyAlignment="1" pivotButton="0" quotePrefix="0" xfId="0">
      <alignment horizontal="right"/>
    </xf>
    <xf numFmtId="0" fontId="5" fillId="0" borderId="2" pivotButton="0" quotePrefix="0" xfId="0"/>
    <xf numFmtId="164" fontId="5" fillId="0" borderId="2" applyAlignment="1" pivotButton="0" quotePrefix="0" xfId="0">
      <alignment horizontal="right"/>
    </xf>
    <xf numFmtId="0" fontId="6" fillId="0" borderId="3" pivotButton="0" quotePrefix="0" xfId="0"/>
    <xf numFmtId="0" fontId="6" fillId="0" borderId="3" applyAlignment="1" pivotButton="0" quotePrefix="0" xfId="0">
      <alignment horizontal="right"/>
    </xf>
    <xf numFmtId="0" fontId="7" fillId="0" borderId="2" pivotButton="0" quotePrefix="0" xfId="0"/>
    <xf numFmtId="164" fontId="4" fillId="0" borderId="2" applyAlignment="1" pivotButton="0" quotePrefix="0" xfId="0">
      <alignment horizontal="right"/>
    </xf>
    <xf numFmtId="0" fontId="5" fillId="0" borderId="4" pivotButton="0" quotePrefix="0" xfId="0"/>
    <xf numFmtId="0" fontId="0" fillId="0" borderId="4" pivotButton="0" quotePrefix="0" xfId="0"/>
    <xf numFmtId="164" fontId="5" fillId="0" borderId="4" applyAlignment="1" pivotButton="0" quotePrefix="0" xfId="0">
      <alignment horizontal="right"/>
    </xf>
    <xf numFmtId="0" fontId="5" fillId="4" borderId="4" pivotButton="0" quotePrefix="0" xfId="0"/>
    <xf numFmtId="0" fontId="0" fillId="4" borderId="4" pivotButton="0" quotePrefix="0" xfId="0"/>
    <xf numFmtId="164" fontId="8" fillId="4" borderId="4" applyAlignment="1" pivotButton="0" quotePrefix="0" xfId="0">
      <alignment horizontal="right"/>
    </xf>
    <xf numFmtId="0" fontId="7" fillId="3" borderId="2" pivotButton="0" quotePrefix="0" xfId="0"/>
    <xf numFmtId="166" fontId="4" fillId="0" borderId="2" applyAlignment="1" pivotButton="0" quotePrefix="0" xfId="0">
      <alignment horizontal="right"/>
    </xf>
    <xf numFmtId="166" fontId="5" fillId="0" borderId="2" applyAlignment="1" pivotButton="0" quotePrefix="0" xfId="0">
      <alignment horizontal="right"/>
    </xf>
    <xf numFmtId="166" fontId="5" fillId="0" borderId="4" applyAlignment="1" pivotButton="0" quotePrefix="0" xfId="0">
      <alignment horizontal="right"/>
    </xf>
    <xf numFmtId="166" fontId="9" fillId="4" borderId="4" applyAlignment="1" pivotButton="0" quotePrefix="0" xfId="0">
      <alignment horizontal="right"/>
    </xf>
    <xf numFmtId="0" fontId="10" fillId="0" borderId="0" applyAlignment="1" pivotButton="0" quotePrefix="0" xfId="0">
      <alignment vertical="top" wrapText="1"/>
    </xf>
    <xf numFmtId="0" fontId="11" fillId="0" borderId="4" pivotButton="0" quotePrefix="0" xfId="0"/>
    <xf numFmtId="0" fontId="12" fillId="0" borderId="4"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2</col>
      <colOff>104775</colOff>
      <row>0</row>
      <rowOff>95250</rowOff>
    </from>
    <ext cx="1143000" cy="43815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2</col>
      <colOff>104775</colOff>
      <row>0</row>
      <rowOff>95250</rowOff>
    </from>
    <ext cx="1143000" cy="4381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fitToPage="1"/>
  </sheetPr>
  <dimension ref="A3:C98"/>
  <sheetViews>
    <sheetView showGridLines="0" workbookViewId="0">
      <selection activeCell="A1" sqref="A1"/>
    </sheetView>
  </sheetViews>
  <sheetFormatPr baseColWidth="8" defaultRowHeight="15"/>
  <cols>
    <col width="46" customWidth="1" min="1" max="1"/>
    <col width="52" customWidth="1" min="2" max="2"/>
    <col width="18" customWidth="1" min="3" max="3"/>
  </cols>
  <sheetData>
    <row r="1" ht="52" customHeight="1"/>
    <row r="2" ht="8" customHeight="1"/>
    <row r="3" ht="24" customHeight="1">
      <c r="A3" s="1" t="inlineStr">
        <is>
          <t>Cash-Flow del Inversor · Opción 1</t>
        </is>
      </c>
    </row>
    <row r="4" ht="26" customHeight="1">
      <c r="A4" s="2" t="inlineStr">
        <is>
          <t>Apartamento calle Ruiz Jiménez 3, Madrid.  La operación se canaliza a través de la sociedad de Rebis y el Inversor entra mediante préstamo participativo.  Escenario conservador.</t>
        </is>
      </c>
    </row>
    <row r="5" ht="6" customHeight="1">
      <c r="A5" s="3" t="n"/>
      <c r="B5" s="3" t="n"/>
      <c r="C5" s="3" t="n"/>
    </row>
    <row r="7" ht="17" customHeight="1">
      <c r="A7" s="4" t="inlineStr">
        <is>
          <t>RESUMEN DE COMPRA Y VENTA</t>
        </is>
      </c>
      <c r="B7" s="4" t="n"/>
      <c r="C7" s="4" t="n"/>
    </row>
    <row r="8">
      <c r="A8" s="5" t="inlineStr">
        <is>
          <t>Precio de compra</t>
        </is>
      </c>
      <c r="B8" s="6" t="n"/>
      <c r="C8" s="7" t="n">
        <v>1500000</v>
      </c>
    </row>
    <row r="9">
      <c r="A9" s="5" t="inlineStr">
        <is>
          <t>M2 construidos</t>
        </is>
      </c>
      <c r="B9" s="6" t="n"/>
      <c r="C9" s="8" t="n">
        <v>176</v>
      </c>
    </row>
    <row r="10">
      <c r="A10" s="9" t="inlineStr">
        <is>
          <t>Precio del m2 de compra</t>
        </is>
      </c>
      <c r="B10" s="10" t="n"/>
      <c r="C10" s="11">
        <f>C8/C9</f>
        <v>8522.7272727273</v>
      </c>
    </row>
    <row r="11">
      <c r="A11" s="5" t="inlineStr">
        <is>
          <t>Precio del m2 de venta</t>
        </is>
      </c>
      <c r="B11" s="6" t="n"/>
      <c r="C11" s="12" t="n">
        <v>14200</v>
      </c>
    </row>
    <row r="12">
      <c r="A12" s="13" t="inlineStr">
        <is>
          <t>Precio de venta estimado</t>
        </is>
      </c>
      <c r="B12" s="10" t="n"/>
      <c r="C12" s="14">
        <f>C11*C9</f>
        <v>2499200</v>
      </c>
    </row>
    <row r="14" ht="17" customHeight="1">
      <c r="A14" s="4" t="inlineStr">
        <is>
          <t>COSTES  ·  IMPORTES CON IVA INCLUIDO</t>
        </is>
      </c>
      <c r="B14" s="4" t="n"/>
      <c r="C14" s="4" t="n"/>
    </row>
    <row r="15">
      <c r="A15" s="15" t="inlineStr">
        <is>
          <t>ACTUACIÓN</t>
        </is>
      </c>
      <c r="B15" s="15" t="inlineStr">
        <is>
          <t>CONCEPTO</t>
        </is>
      </c>
      <c r="C15" s="16" t="inlineStr">
        <is>
          <t>IMPORTE</t>
        </is>
      </c>
    </row>
    <row r="16">
      <c r="A16" s="9" t="inlineStr">
        <is>
          <t>Adquisición</t>
        </is>
      </c>
      <c r="B16" s="17" t="inlineStr">
        <is>
          <t>Comisión inmobiliaria</t>
        </is>
      </c>
      <c r="C16" s="18" t="n">
        <v>45375</v>
      </c>
    </row>
    <row r="17">
      <c r="A17" s="9" t="n"/>
      <c r="B17" s="17" t="inlineStr">
        <is>
          <t>Honorarios legales por análisis de documentación</t>
        </is>
      </c>
      <c r="C17" s="18" t="n">
        <v>1270.5</v>
      </c>
    </row>
    <row r="18">
      <c r="A18" s="9" t="n"/>
      <c r="B18" s="17" t="inlineStr">
        <is>
          <t>ITP · IVA · AJD</t>
        </is>
      </c>
      <c r="C18" s="18" t="n">
        <v>30000</v>
      </c>
    </row>
    <row r="19">
      <c r="A19" s="9" t="n"/>
      <c r="B19" s="17" t="inlineStr">
        <is>
          <t>Notaría</t>
        </is>
      </c>
      <c r="C19" s="18" t="n">
        <v>2700</v>
      </c>
    </row>
    <row r="20">
      <c r="A20" s="9" t="n"/>
      <c r="B20" s="17" t="inlineStr">
        <is>
          <t>Gestoría</t>
        </is>
      </c>
      <c r="C20" s="18" t="n">
        <v>494</v>
      </c>
    </row>
    <row r="21">
      <c r="A21" s="9" t="n"/>
      <c r="B21" s="17" t="inlineStr">
        <is>
          <t>Registro de la propiedad</t>
        </is>
      </c>
      <c r="C21" s="18" t="n">
        <v>1600</v>
      </c>
    </row>
    <row r="22">
      <c r="A22" s="9" t="n"/>
      <c r="B22" s="17" t="inlineStr">
        <is>
          <t>IBI y tasas de basuras, proporcional 2026</t>
        </is>
      </c>
      <c r="C22" s="18" t="n">
        <v>875</v>
      </c>
    </row>
    <row r="23">
      <c r="A23" s="19" t="inlineStr">
        <is>
          <t>Total adquisición</t>
        </is>
      </c>
      <c r="B23" s="20" t="n"/>
      <c r="C23" s="21">
        <f>SUM(C16:C22)</f>
        <v>82314.5</v>
      </c>
    </row>
    <row r="24">
      <c r="A24" s="9" t="inlineStr">
        <is>
          <t>Financiación bancaria</t>
        </is>
      </c>
      <c r="B24" s="17" t="inlineStr">
        <is>
          <t>Tasación</t>
        </is>
      </c>
      <c r="C24" s="18" t="n">
        <v>605</v>
      </c>
    </row>
    <row r="25">
      <c r="A25" s="9" t="n"/>
      <c r="B25" s="17" t="inlineStr">
        <is>
          <t>Pago otorgamiento de hipoteca (AJD)</t>
        </is>
      </c>
      <c r="C25" s="18" t="n">
        <v>9000</v>
      </c>
    </row>
    <row r="26">
      <c r="A26" s="9" t="n"/>
      <c r="B26" s="17" t="inlineStr">
        <is>
          <t>Comisión por otorgamiento de hipoteca</t>
        </is>
      </c>
      <c r="C26" s="18" t="n">
        <v>2475</v>
      </c>
    </row>
    <row r="27">
      <c r="A27" s="9" t="n"/>
      <c r="B27" s="17" t="inlineStr">
        <is>
          <t>Contribución especial Fundación CaixaBank</t>
        </is>
      </c>
      <c r="C27" s="18" t="n">
        <v>1200</v>
      </c>
    </row>
    <row r="28">
      <c r="A28" s="9" t="n"/>
      <c r="B28" s="17" t="inlineStr">
        <is>
          <t>Pignoración · fondo recuperable, ver nota 1</t>
        </is>
      </c>
      <c r="C28" s="18" t="n">
        <v>38000</v>
      </c>
    </row>
    <row r="29">
      <c r="A29" s="9" t="n"/>
      <c r="B29" s="17" t="inlineStr">
        <is>
          <t>Gastos de hipoteca</t>
        </is>
      </c>
      <c r="C29" s="18" t="n">
        <v>35062.5</v>
      </c>
    </row>
    <row r="30">
      <c r="A30" s="9" t="n"/>
      <c r="B30" s="17" t="inlineStr">
        <is>
          <t>Seguro de responsabilidad civil</t>
        </is>
      </c>
      <c r="C30" s="18" t="n">
        <v>649.51</v>
      </c>
    </row>
    <row r="31">
      <c r="A31" s="9" t="n"/>
      <c r="B31" s="17" t="inlineStr">
        <is>
          <t>Notaría</t>
        </is>
      </c>
      <c r="C31" s="18" t="n">
        <v>2000</v>
      </c>
    </row>
    <row r="32">
      <c r="A32" s="9" t="n"/>
      <c r="B32" s="17" t="inlineStr">
        <is>
          <t>Gestoría</t>
        </is>
      </c>
      <c r="C32" s="18" t="n">
        <v>494</v>
      </c>
    </row>
    <row r="33">
      <c r="A33" s="9" t="n"/>
      <c r="B33" s="17" t="inlineStr">
        <is>
          <t>Registro de la propiedad</t>
        </is>
      </c>
      <c r="C33" s="18" t="n">
        <v>900</v>
      </c>
    </row>
    <row r="34">
      <c r="A34" s="19" t="inlineStr">
        <is>
          <t>Total financiación bancaria</t>
        </is>
      </c>
      <c r="B34" s="20" t="n"/>
      <c r="C34" s="21">
        <f>SUM(C24:C33)</f>
        <v>90386.01</v>
      </c>
    </row>
    <row r="35">
      <c r="A35" s="9" t="inlineStr">
        <is>
          <t>Reforma</t>
        </is>
      </c>
      <c r="B35" s="17" t="inlineStr">
        <is>
          <t>Seguro de incendio</t>
        </is>
      </c>
      <c r="C35" s="18" t="n">
        <v>703.9400000000001</v>
      </c>
    </row>
    <row r="36">
      <c r="A36" s="9" t="n"/>
      <c r="B36" s="17" t="inlineStr">
        <is>
          <t>Asamblea para aprobación de reformas en áreas comunes</t>
        </is>
      </c>
      <c r="C36" s="18" t="n">
        <v>150</v>
      </c>
    </row>
    <row r="37">
      <c r="A37" s="9" t="n"/>
      <c r="B37" s="17" t="inlineStr">
        <is>
          <t>Obra</t>
        </is>
      </c>
      <c r="C37" s="18" t="n">
        <v>325000</v>
      </c>
    </row>
    <row r="38">
      <c r="A38" s="9" t="n"/>
      <c r="B38" s="17" t="inlineStr">
        <is>
          <t>Muebles</t>
        </is>
      </c>
      <c r="C38" s="18" t="n">
        <v>30000</v>
      </c>
    </row>
    <row r="39">
      <c r="A39" s="9" t="n"/>
      <c r="B39" s="17" t="inlineStr">
        <is>
          <t>Imprevistos</t>
        </is>
      </c>
      <c r="C39" s="18" t="n">
        <v>15000</v>
      </c>
    </row>
    <row r="40">
      <c r="A40" s="9" t="n"/>
      <c r="B40" s="17" t="inlineStr">
        <is>
          <t>Honorarios de interiorismo y arquitectura</t>
        </is>
      </c>
      <c r="C40" s="18" t="n">
        <v>6500</v>
      </c>
    </row>
    <row r="41">
      <c r="A41" s="9" t="n"/>
      <c r="B41" s="17" t="inlineStr">
        <is>
          <t>Impuestos corrientes durante la ejecución de obra</t>
        </is>
      </c>
      <c r="C41" s="18" t="n">
        <v>5300</v>
      </c>
    </row>
    <row r="42">
      <c r="A42" s="19" t="inlineStr">
        <is>
          <t>Total reforma</t>
        </is>
      </c>
      <c r="B42" s="20" t="n"/>
      <c r="C42" s="21">
        <f>SUM(C35:C41)</f>
        <v>382653.94</v>
      </c>
    </row>
    <row r="43">
      <c r="A43" s="9" t="inlineStr">
        <is>
          <t>Venta</t>
        </is>
      </c>
      <c r="B43" s="17" t="inlineStr">
        <is>
          <t>Fotografía y afines</t>
        </is>
      </c>
      <c r="C43" s="18" t="n">
        <v>900</v>
      </c>
    </row>
    <row r="44">
      <c r="A44" s="9" t="n"/>
      <c r="B44" s="17" t="inlineStr">
        <is>
          <t>IBI y tasas de basuras, proporcional 2027</t>
        </is>
      </c>
      <c r="C44" s="18" t="n">
        <v>400</v>
      </c>
    </row>
    <row r="45">
      <c r="A45" s="9" t="n"/>
      <c r="B45" s="17" t="inlineStr">
        <is>
          <t>Comisión inmobiliaria</t>
        </is>
      </c>
      <c r="C45" s="18">
        <f>ROUND($C$12*0.0363,2)</f>
        <v>90720.96</v>
      </c>
    </row>
    <row r="46">
      <c r="A46" s="9" t="n"/>
      <c r="B46" s="17" t="inlineStr">
        <is>
          <t>Plusvalía municipal</t>
        </is>
      </c>
      <c r="C46" s="18" t="n">
        <v>15000</v>
      </c>
    </row>
    <row r="47">
      <c r="A47" s="19" t="inlineStr">
        <is>
          <t>Total venta</t>
        </is>
      </c>
      <c r="B47" s="20" t="n"/>
      <c r="C47" s="21">
        <f>SUM(C43:C46)</f>
        <v>107020.96</v>
      </c>
    </row>
    <row r="48">
      <c r="A48" s="9" t="inlineStr">
        <is>
          <t>Financiación por venta</t>
        </is>
      </c>
      <c r="B48" s="17" t="inlineStr">
        <is>
          <t>Comisión por cancelación de hipoteca</t>
        </is>
      </c>
      <c r="C48" s="18" t="n">
        <v>1237.5</v>
      </c>
    </row>
    <row r="49">
      <c r="A49" s="9" t="n"/>
      <c r="B49" s="17" t="inlineStr">
        <is>
          <t>Gestoría por cancelación de hipoteca</t>
        </is>
      </c>
      <c r="C49" s="18" t="n">
        <v>494</v>
      </c>
    </row>
    <row r="50">
      <c r="A50" s="9" t="n"/>
      <c r="B50" s="17" t="inlineStr">
        <is>
          <t>Registro de la propiedad por cancelación</t>
        </is>
      </c>
      <c r="C50" s="18" t="n">
        <v>1000</v>
      </c>
    </row>
    <row r="51">
      <c r="A51" s="19" t="inlineStr">
        <is>
          <t>Total financiación por venta</t>
        </is>
      </c>
      <c r="B51" s="20" t="n"/>
      <c r="C51" s="21">
        <f>SUM(C48:C50)</f>
        <v>2731.5</v>
      </c>
    </row>
    <row r="53" ht="17" customHeight="1">
      <c r="A53" s="4" t="inlineStr">
        <is>
          <t>CAPITAL NECESARIO PARA LA ACTUACIÓN  ·  SIN GASTOS DE VENTA NI DE FINANCIACIÓN</t>
        </is>
      </c>
      <c r="B53" s="4" t="n"/>
      <c r="C53" s="4" t="n"/>
    </row>
    <row r="54">
      <c r="A54" s="9" t="inlineStr">
        <is>
          <t>Compra del apartamento</t>
        </is>
      </c>
      <c r="B54" s="10" t="n"/>
      <c r="C54" s="18">
        <f>$C$8</f>
        <v>1500000</v>
      </c>
    </row>
    <row r="55">
      <c r="A55" s="9" t="inlineStr">
        <is>
          <t>Gastos derivados de la adquisición</t>
        </is>
      </c>
      <c r="B55" s="10" t="n"/>
      <c r="C55" s="18">
        <f>C23</f>
        <v>82314.5</v>
      </c>
    </row>
    <row r="56">
      <c r="A56" s="9" t="inlineStr">
        <is>
          <t>Gastos de reforma</t>
        </is>
      </c>
      <c r="B56" s="10" t="n"/>
      <c r="C56" s="18">
        <f>C42</f>
        <v>382653.94</v>
      </c>
    </row>
    <row r="57">
      <c r="A57" s="9" t="inlineStr">
        <is>
          <t>Fotografía y afines</t>
        </is>
      </c>
      <c r="B57" s="10" t="n"/>
      <c r="C57" s="18" t="n">
        <v>900</v>
      </c>
    </row>
    <row r="58" ht="18" customHeight="1">
      <c r="A58" s="22" t="inlineStr">
        <is>
          <t>Capital necesario</t>
        </is>
      </c>
      <c r="B58" s="23" t="n"/>
      <c r="C58" s="24">
        <f>SUM(C54:C57)</f>
        <v>1965868.44</v>
      </c>
    </row>
    <row r="60" ht="17" customHeight="1">
      <c r="A60" s="4" t="inlineStr">
        <is>
          <t>APORTES DE CAPITAL</t>
        </is>
      </c>
      <c r="B60" s="4" t="n"/>
      <c r="C60" s="4" t="n"/>
    </row>
    <row r="61">
      <c r="A61" s="5" t="inlineStr">
        <is>
          <t>Aporte de capital bancario · Rebis</t>
        </is>
      </c>
      <c r="B61" s="25" t="inlineStr">
        <is>
          <t>Lo aporta Rebis sobre su propia sociedad y su historial</t>
        </is>
      </c>
      <c r="C61" s="7" t="n">
        <v>825000</v>
      </c>
    </row>
    <row r="62">
      <c r="A62" s="9" t="inlineStr">
        <is>
          <t>Gastos de financiación a cargo de Rebis</t>
        </is>
      </c>
      <c r="B62" s="17" t="inlineStr">
        <is>
          <t>Rebis retiene el beneficio de la financiación, de modo que no se repercuten al proyecto</t>
        </is>
      </c>
      <c r="C62" s="18">
        <f>-C34</f>
        <v>-90386.01</v>
      </c>
    </row>
    <row r="63">
      <c r="A63" s="13" t="inlineStr">
        <is>
          <t>Aporte neto de Rebis</t>
        </is>
      </c>
      <c r="B63" s="10" t="n"/>
      <c r="C63" s="14">
        <f>C61+C62</f>
        <v>734613.99</v>
      </c>
    </row>
    <row r="64">
      <c r="A64" s="5" t="inlineStr">
        <is>
          <t>Aporte de la constructora</t>
        </is>
      </c>
      <c r="B64" s="25" t="inlineStr">
        <is>
          <t>Ejecución y financiación de obra</t>
        </is>
      </c>
      <c r="C64" s="7" t="n">
        <v>325000</v>
      </c>
    </row>
    <row r="65">
      <c r="A65" s="13" t="inlineStr">
        <is>
          <t>Aporte del Inversor</t>
        </is>
      </c>
      <c r="B65" s="17" t="inlineStr">
        <is>
          <t>Completa el capital necesario de la actuación</t>
        </is>
      </c>
      <c r="C65" s="14">
        <f>C58-C63-C64</f>
        <v>906254.45</v>
      </c>
    </row>
    <row r="66">
      <c r="A66" s="19" t="inlineStr">
        <is>
          <t>Total aportes</t>
        </is>
      </c>
      <c r="B66" s="20" t="n"/>
      <c r="C66" s="21">
        <f>C63+C64+C65</f>
        <v>1965868.44</v>
      </c>
    </row>
    <row r="68" ht="17" customHeight="1">
      <c r="A68" s="4" t="inlineStr">
        <is>
          <t>PORCENTAJES DE PARTICIPACIÓN</t>
        </is>
      </c>
      <c r="B68" s="4" t="n"/>
      <c r="C68" s="4" t="n"/>
    </row>
    <row r="69">
      <c r="A69" s="9" t="inlineStr">
        <is>
          <t>Rebis</t>
        </is>
      </c>
      <c r="B69" s="10" t="n"/>
      <c r="C69" s="26">
        <f>C63/C58*100</f>
        <v>37.3684207474</v>
      </c>
    </row>
    <row r="70">
      <c r="A70" s="9" t="inlineStr">
        <is>
          <t>Constructora</t>
        </is>
      </c>
      <c r="B70" s="10" t="n"/>
      <c r="C70" s="26">
        <f>C64/C58*100</f>
        <v>16.5321337576</v>
      </c>
    </row>
    <row r="71">
      <c r="A71" s="13" t="inlineStr">
        <is>
          <t>Inversor</t>
        </is>
      </c>
      <c r="B71" s="10" t="n"/>
      <c r="C71" s="27">
        <f>C65/C58*100</f>
        <v>46.0994454949</v>
      </c>
    </row>
    <row r="72">
      <c r="A72" s="19" t="inlineStr">
        <is>
          <t>Total</t>
        </is>
      </c>
      <c r="B72" s="20" t="n"/>
      <c r="C72" s="28">
        <f>C69+C70+C71</f>
        <v>100</v>
      </c>
    </row>
    <row r="74" ht="17" customHeight="1">
      <c r="A74" s="4" t="inlineStr">
        <is>
          <t>RESULTADO DE LA OPERACIÓN</t>
        </is>
      </c>
      <c r="B74" s="4" t="n"/>
      <c r="C74" s="4" t="n"/>
    </row>
    <row r="75">
      <c r="A75" s="9" t="inlineStr">
        <is>
          <t>Total costes generales</t>
        </is>
      </c>
      <c r="B75" s="10" t="n"/>
      <c r="C75" s="18">
        <f>$C$8+C23+C34+C42+C47+C51</f>
        <v>2165106.91</v>
      </c>
    </row>
    <row r="76">
      <c r="A76" s="9" t="inlineStr">
        <is>
          <t>Precio de venta estimado</t>
        </is>
      </c>
      <c r="B76" s="10" t="n"/>
      <c r="C76" s="18">
        <f>$C$12</f>
        <v>2499200</v>
      </c>
    </row>
    <row r="77">
      <c r="A77" s="9" t="inlineStr">
        <is>
          <t>Costes de financiación a cargo de Rebis</t>
        </is>
      </c>
      <c r="B77" s="17" t="inlineStr">
        <is>
          <t>Gastos de financiación por adquisición y por venta</t>
        </is>
      </c>
      <c r="C77" s="18">
        <f>C34+C51</f>
        <v>93117.51</v>
      </c>
    </row>
    <row r="78" ht="18" customHeight="1">
      <c r="A78" s="22" t="inlineStr">
        <is>
          <t>Beneficio de la operación · sin los costes a cargo de Rebis</t>
        </is>
      </c>
      <c r="B78" s="23" t="n"/>
      <c r="C78" s="24">
        <f>$C$12-C75+C77</f>
        <v>427210.5999999999</v>
      </c>
    </row>
    <row r="79">
      <c r="A79" s="5" t="inlineStr">
        <is>
          <t>Ganancia de la constructora</t>
        </is>
      </c>
      <c r="B79" s="25" t="inlineStr">
        <is>
          <t>Importe fijado por Rebis; única cifra del modelo sin fórmula</t>
        </is>
      </c>
      <c r="C79" s="7" t="n">
        <v>70846.89999999999</v>
      </c>
    </row>
    <row r="80">
      <c r="A80" s="9" t="inlineStr">
        <is>
          <t>Honorarios de gestión de Rebis</t>
        </is>
      </c>
      <c r="B80" s="17" t="inlineStr">
        <is>
          <t>20 % más IVA sobre el beneficio una vez deducida la constructora</t>
        </is>
      </c>
      <c r="C80" s="18">
        <f>ROUND((C78-C79)*0.242,2)</f>
        <v>86240.02</v>
      </c>
    </row>
    <row r="81">
      <c r="A81" s="19" t="inlineStr">
        <is>
          <t>Beneficio a repartir entre los aportantes</t>
        </is>
      </c>
      <c r="B81" s="20" t="n"/>
      <c r="C81" s="21">
        <f>C78-C79-C80</f>
        <v>270123.6799999998</v>
      </c>
    </row>
    <row r="82">
      <c r="A82" s="13" t="inlineStr">
        <is>
          <t>Ganancia del Inversor, antes de impuestos</t>
        </is>
      </c>
      <c r="B82" s="17" t="inlineStr">
        <is>
          <t>Su porcentaje de participación sobre el beneficio a repartir</t>
        </is>
      </c>
      <c r="C82" s="14">
        <f>ROUND(C81*C71/100,2)</f>
        <v>124525.52</v>
      </c>
    </row>
    <row r="83" ht="18" customHeight="1">
      <c r="A83" s="22" t="inlineStr">
        <is>
          <t>Rentabilidad del Inversor sobre el capital aportado</t>
        </is>
      </c>
      <c r="B83" s="23" t="n"/>
      <c r="C83" s="29">
        <f>C82/C65*100</f>
        <v>13.740679563</v>
      </c>
    </row>
    <row r="84">
      <c r="A84" s="9" t="inlineStr">
        <is>
          <t>Rentabilidad antes de los honorarios de Rebis</t>
        </is>
      </c>
      <c r="B84" s="17" t="inlineStr">
        <is>
          <t>Equivalencia para comparar con operaciones sin gestión contratada</t>
        </is>
      </c>
      <c r="C84" s="26">
        <f>(C82+C80*C71/100)/C65*100</f>
        <v>18.1275458581</v>
      </c>
    </row>
    <row r="86" ht="17" customHeight="1">
      <c r="A86" s="4" t="inlineStr">
        <is>
          <t>NOTAS</t>
        </is>
      </c>
      <c r="B86" s="4" t="n"/>
      <c r="C86" s="4" t="n"/>
    </row>
    <row r="87" ht="12.5" customHeight="1">
      <c r="A87" s="30" t="inlineStr">
        <is>
          <t>1 · Pignoración. Los 38.000 € no son un gasto: son un fondo que el banco retiene en garantía de unas 13 cuotas del período de carencia, durante el cual no se amortiza capital y solo se pagan intereses. El fondo se libera mes a mes contra esas cuotas. Figura en el cuadro porque el importe debe estar disponible desde el primer día, pero el coste real de financiación de la operación es la diferencia.</t>
        </is>
      </c>
    </row>
    <row r="88" ht="12.5" customHeight="1"/>
    <row r="89" ht="12.5" customHeight="1">
      <c r="A89" s="30" t="inlineStr">
        <is>
          <t>2 · Honorarios de Rebis. Un 20 % más IVA, equivalente al 24,2 %, sobre el beneficio de la operación una vez deducida la ganancia de la constructora. Aquí Rebis no cobra comisión por la gestión de la hipoteca, porque la toma sobre su propia sociedad.</t>
        </is>
      </c>
    </row>
    <row r="90" ht="12.5" customHeight="1"/>
    <row r="91" ht="12.5" customHeight="1">
      <c r="A91" s="30" t="inlineStr">
        <is>
          <t>3 · Rentabilidad. La cifra es posterior a los honorarios de Rebis y anterior a los impuestos del Inversor. El impuesto a la renta queda fuera del modelo, como en cualquier inversión, y depende de la residencia fiscal de cada aportante.</t>
        </is>
      </c>
    </row>
    <row r="92" ht="12.5" customHeight="1"/>
    <row r="93" ht="12.5" customHeight="1">
      <c r="A93" s="30" t="inlineStr">
        <is>
          <t>4 · En esta opción el Inversor no figura ante el banco, no presta aval y no constituye ni administra sociedad alguna en España. La financiación bancaria, su coste y su riesgo quedan íntegramente del lado de Rebis, y por eso el apalancamiento no juega a su favor.</t>
        </is>
      </c>
    </row>
    <row r="94" ht="12.5" customHeight="1"/>
    <row r="95" ht="12.5" customHeight="1">
      <c r="A95" s="30" t="inlineStr">
        <is>
          <t>Las celdas con fondo cerámica son los datos de entrada del modelo: precio de compra, metros construidos, precio del m2 de venta y los aportes. El resto del cuadro se recalcula solo.</t>
        </is>
      </c>
    </row>
    <row r="96" ht="12.5" customHeight="1"/>
    <row r="98" ht="18" customHeight="1">
      <c r="A98" s="31" t="inlineStr">
        <is>
          <t>TRANSFORMAR CON CRITERIO.</t>
        </is>
      </c>
      <c r="B98" s="20" t="n"/>
      <c r="C98" s="32" t="inlineStr">
        <is>
          <t>rebis.com</t>
        </is>
      </c>
    </row>
  </sheetData>
  <mergeCells count="6">
    <mergeCell ref="A89:C90"/>
    <mergeCell ref="A91:C92"/>
    <mergeCell ref="A87:C88"/>
    <mergeCell ref="A93:C94"/>
    <mergeCell ref="A4:C4"/>
    <mergeCell ref="A95:C96"/>
  </mergeCells>
  <printOptions horizontalCentered="1"/>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3:C89"/>
  <sheetViews>
    <sheetView showGridLines="0" workbookViewId="0">
      <selection activeCell="A1" sqref="A1"/>
    </sheetView>
  </sheetViews>
  <sheetFormatPr baseColWidth="8" defaultRowHeight="15"/>
  <cols>
    <col width="46" customWidth="1" min="1" max="1"/>
    <col width="52" customWidth="1" min="2" max="2"/>
    <col width="18" customWidth="1" min="3" max="3"/>
  </cols>
  <sheetData>
    <row r="1" ht="52" customHeight="1"/>
    <row r="2" ht="8" customHeight="1"/>
    <row r="3" ht="24" customHeight="1">
      <c r="A3" s="1" t="inlineStr">
        <is>
          <t>Cash-Flow del Inversor · Opción 2</t>
        </is>
      </c>
    </row>
    <row r="4" ht="26" customHeight="1">
      <c r="A4" s="2" t="inlineStr">
        <is>
          <t>Apartamento calle Ruiz Jiménez 3, Madrid.  La sociedad titular del inmueble es del Inversor, que toma la hipoteca a su nombre.  Escenario conservador.</t>
        </is>
      </c>
    </row>
    <row r="5" ht="6" customHeight="1">
      <c r="A5" s="3" t="n"/>
      <c r="B5" s="3" t="n"/>
      <c r="C5" s="3" t="n"/>
    </row>
    <row r="7" ht="17" customHeight="1">
      <c r="A7" s="4" t="inlineStr">
        <is>
          <t>RESUMEN DE COMPRA Y VENTA</t>
        </is>
      </c>
      <c r="B7" s="4" t="n"/>
      <c r="C7" s="4" t="n"/>
    </row>
    <row r="8">
      <c r="A8" s="5" t="inlineStr">
        <is>
          <t>Precio de compra</t>
        </is>
      </c>
      <c r="B8" s="6" t="n"/>
      <c r="C8" s="7" t="n">
        <v>1500000</v>
      </c>
    </row>
    <row r="9">
      <c r="A9" s="5" t="inlineStr">
        <is>
          <t>M2 construidos</t>
        </is>
      </c>
      <c r="B9" s="6" t="n"/>
      <c r="C9" s="8" t="n">
        <v>176</v>
      </c>
    </row>
    <row r="10">
      <c r="A10" s="9" t="inlineStr">
        <is>
          <t>Precio del m2 de compra</t>
        </is>
      </c>
      <c r="B10" s="10" t="n"/>
      <c r="C10" s="11">
        <f>C8/C9</f>
        <v>8522.7272727273</v>
      </c>
    </row>
    <row r="11">
      <c r="A11" s="5" t="inlineStr">
        <is>
          <t>Precio del m2 de venta</t>
        </is>
      </c>
      <c r="B11" s="6" t="n"/>
      <c r="C11" s="12" t="n">
        <v>14200</v>
      </c>
    </row>
    <row r="12">
      <c r="A12" s="13" t="inlineStr">
        <is>
          <t>Precio de venta estimado</t>
        </is>
      </c>
      <c r="B12" s="10" t="n"/>
      <c r="C12" s="14">
        <f>C11*C9</f>
        <v>2499200</v>
      </c>
    </row>
    <row r="14" ht="17" customHeight="1">
      <c r="A14" s="4" t="inlineStr">
        <is>
          <t>COSTES  ·  IMPORTES CON IVA INCLUIDO</t>
        </is>
      </c>
      <c r="B14" s="4" t="n"/>
      <c r="C14" s="4" t="n"/>
    </row>
    <row r="15">
      <c r="A15" s="15" t="inlineStr">
        <is>
          <t>ACTUACIÓN</t>
        </is>
      </c>
      <c r="B15" s="15" t="inlineStr">
        <is>
          <t>CONCEPTO</t>
        </is>
      </c>
      <c r="C15" s="16" t="inlineStr">
        <is>
          <t>IMPORTE</t>
        </is>
      </c>
    </row>
    <row r="16">
      <c r="A16" s="9" t="inlineStr">
        <is>
          <t>Adquisición</t>
        </is>
      </c>
      <c r="B16" s="17" t="inlineStr">
        <is>
          <t>Comisión inmobiliaria</t>
        </is>
      </c>
      <c r="C16" s="18" t="n">
        <v>45375</v>
      </c>
    </row>
    <row r="17">
      <c r="A17" s="9" t="n"/>
      <c r="B17" s="17" t="inlineStr">
        <is>
          <t>Honorarios legales por análisis de documentación</t>
        </is>
      </c>
      <c r="C17" s="18" t="n">
        <v>1270.5</v>
      </c>
    </row>
    <row r="18">
      <c r="A18" s="9" t="n"/>
      <c r="B18" s="17" t="inlineStr">
        <is>
          <t>ITP · IVA · AJD</t>
        </is>
      </c>
      <c r="C18" s="18" t="n">
        <v>30000</v>
      </c>
    </row>
    <row r="19">
      <c r="A19" s="9" t="n"/>
      <c r="B19" s="17" t="inlineStr">
        <is>
          <t>Notaría</t>
        </is>
      </c>
      <c r="C19" s="18" t="n">
        <v>2700</v>
      </c>
    </row>
    <row r="20">
      <c r="A20" s="9" t="n"/>
      <c r="B20" s="17" t="inlineStr">
        <is>
          <t>Gestoría</t>
        </is>
      </c>
      <c r="C20" s="18" t="n">
        <v>494</v>
      </c>
    </row>
    <row r="21">
      <c r="A21" s="9" t="n"/>
      <c r="B21" s="17" t="inlineStr">
        <is>
          <t>Registro de la propiedad</t>
        </is>
      </c>
      <c r="C21" s="18" t="n">
        <v>1600</v>
      </c>
    </row>
    <row r="22">
      <c r="A22" s="9" t="n"/>
      <c r="B22" s="17" t="inlineStr">
        <is>
          <t>IBI y tasas de basuras, proporcional 2026</t>
        </is>
      </c>
      <c r="C22" s="18" t="n">
        <v>875</v>
      </c>
    </row>
    <row r="23">
      <c r="A23" s="19" t="inlineStr">
        <is>
          <t>Total adquisición</t>
        </is>
      </c>
      <c r="B23" s="20" t="n"/>
      <c r="C23" s="21">
        <f>SUM(C16:C22)</f>
        <v>82314.5</v>
      </c>
    </row>
    <row r="24">
      <c r="A24" s="9" t="inlineStr">
        <is>
          <t>Financiación bancaria</t>
        </is>
      </c>
      <c r="B24" s="17" t="inlineStr">
        <is>
          <t>Tasación</t>
        </is>
      </c>
      <c r="C24" s="18" t="n">
        <v>605</v>
      </c>
    </row>
    <row r="25">
      <c r="A25" s="9" t="n"/>
      <c r="B25" s="17" t="inlineStr">
        <is>
          <t>Pago otorgamiento de hipoteca (AJD)</t>
        </is>
      </c>
      <c r="C25" s="18" t="n">
        <v>9000</v>
      </c>
    </row>
    <row r="26">
      <c r="A26" s="9" t="n"/>
      <c r="B26" s="17" t="inlineStr">
        <is>
          <t>Comisión por otorgamiento de hipoteca</t>
        </is>
      </c>
      <c r="C26" s="18" t="n">
        <v>2475</v>
      </c>
    </row>
    <row r="27">
      <c r="A27" s="9" t="n"/>
      <c r="B27" s="17" t="inlineStr">
        <is>
          <t>Contribución especial Fundación CaixaBank</t>
        </is>
      </c>
      <c r="C27" s="18" t="n">
        <v>1200</v>
      </c>
    </row>
    <row r="28">
      <c r="A28" s="9" t="n"/>
      <c r="B28" s="17" t="inlineStr">
        <is>
          <t>Pignoración · fondo recuperable, ver nota 1</t>
        </is>
      </c>
      <c r="C28" s="18" t="n">
        <v>38000</v>
      </c>
    </row>
    <row r="29">
      <c r="A29" s="9" t="n"/>
      <c r="B29" s="17" t="inlineStr">
        <is>
          <t>Gastos de hipoteca</t>
        </is>
      </c>
      <c r="C29" s="18" t="n">
        <v>35062.5</v>
      </c>
    </row>
    <row r="30">
      <c r="A30" s="9" t="n"/>
      <c r="B30" s="17" t="inlineStr">
        <is>
          <t>Seguro de responsabilidad civil</t>
        </is>
      </c>
      <c r="C30" s="18" t="n">
        <v>649.51</v>
      </c>
    </row>
    <row r="31">
      <c r="A31" s="9" t="n"/>
      <c r="B31" s="17" t="inlineStr">
        <is>
          <t>Notaría</t>
        </is>
      </c>
      <c r="C31" s="18" t="n">
        <v>2000</v>
      </c>
    </row>
    <row r="32">
      <c r="A32" s="9" t="n"/>
      <c r="B32" s="17" t="inlineStr">
        <is>
          <t>Gestoría</t>
        </is>
      </c>
      <c r="C32" s="18" t="n">
        <v>494</v>
      </c>
    </row>
    <row r="33">
      <c r="A33" s="9" t="n"/>
      <c r="B33" s="17" t="inlineStr">
        <is>
          <t>Registro de la propiedad</t>
        </is>
      </c>
      <c r="C33" s="18" t="n">
        <v>900</v>
      </c>
    </row>
    <row r="34">
      <c r="A34" s="19" t="inlineStr">
        <is>
          <t>Total financiación bancaria</t>
        </is>
      </c>
      <c r="B34" s="20" t="n"/>
      <c r="C34" s="21">
        <f>SUM(C24:C33)</f>
        <v>90386.01</v>
      </c>
    </row>
    <row r="35">
      <c r="A35" s="9" t="inlineStr">
        <is>
          <t>Reforma</t>
        </is>
      </c>
      <c r="B35" s="17" t="inlineStr">
        <is>
          <t>Seguro de incendio</t>
        </is>
      </c>
      <c r="C35" s="18" t="n">
        <v>703.9400000000001</v>
      </c>
    </row>
    <row r="36">
      <c r="A36" s="9" t="n"/>
      <c r="B36" s="17" t="inlineStr">
        <is>
          <t>Asamblea para aprobación de reformas en áreas comunes</t>
        </is>
      </c>
      <c r="C36" s="18" t="n">
        <v>150</v>
      </c>
    </row>
    <row r="37">
      <c r="A37" s="9" t="n"/>
      <c r="B37" s="17" t="inlineStr">
        <is>
          <t>Obra</t>
        </is>
      </c>
      <c r="C37" s="18" t="n">
        <v>325000</v>
      </c>
    </row>
    <row r="38">
      <c r="A38" s="9" t="n"/>
      <c r="B38" s="17" t="inlineStr">
        <is>
          <t>Muebles</t>
        </is>
      </c>
      <c r="C38" s="18" t="n">
        <v>30000</v>
      </c>
    </row>
    <row r="39">
      <c r="A39" s="9" t="n"/>
      <c r="B39" s="17" t="inlineStr">
        <is>
          <t>Imprevistos</t>
        </is>
      </c>
      <c r="C39" s="18" t="n">
        <v>15000</v>
      </c>
    </row>
    <row r="40">
      <c r="A40" s="9" t="n"/>
      <c r="B40" s="17" t="inlineStr">
        <is>
          <t>Honorarios de interiorismo y arquitectura</t>
        </is>
      </c>
      <c r="C40" s="18" t="n">
        <v>6500</v>
      </c>
    </row>
    <row r="41">
      <c r="A41" s="9" t="n"/>
      <c r="B41" s="17" t="inlineStr">
        <is>
          <t>Impuestos corrientes durante la ejecución de obra</t>
        </is>
      </c>
      <c r="C41" s="18" t="n">
        <v>5300</v>
      </c>
    </row>
    <row r="42">
      <c r="A42" s="19" t="inlineStr">
        <is>
          <t>Total reforma</t>
        </is>
      </c>
      <c r="B42" s="20" t="n"/>
      <c r="C42" s="21">
        <f>SUM(C35:C41)</f>
        <v>382653.94</v>
      </c>
    </row>
    <row r="43">
      <c r="A43" s="9" t="inlineStr">
        <is>
          <t>Venta</t>
        </is>
      </c>
      <c r="B43" s="17" t="inlineStr">
        <is>
          <t>Fotografía y afines</t>
        </is>
      </c>
      <c r="C43" s="18" t="n">
        <v>900</v>
      </c>
    </row>
    <row r="44">
      <c r="A44" s="9" t="n"/>
      <c r="B44" s="17" t="inlineStr">
        <is>
          <t>IBI y tasas de basuras, proporcional 2027</t>
        </is>
      </c>
      <c r="C44" s="18" t="n">
        <v>400</v>
      </c>
    </row>
    <row r="45">
      <c r="A45" s="9" t="n"/>
      <c r="B45" s="17" t="inlineStr">
        <is>
          <t>Comisión inmobiliaria</t>
        </is>
      </c>
      <c r="C45" s="18">
        <f>ROUND($C$12*0.0363,2)</f>
        <v>90720.96</v>
      </c>
    </row>
    <row r="46">
      <c r="A46" s="9" t="n"/>
      <c r="B46" s="17" t="inlineStr">
        <is>
          <t>Plusvalía municipal</t>
        </is>
      </c>
      <c r="C46" s="18" t="n">
        <v>15000</v>
      </c>
    </row>
    <row r="47">
      <c r="A47" s="9" t="n"/>
      <c r="B47" s="17" t="inlineStr">
        <is>
          <t>Comisión por cancelación de hipoteca</t>
        </is>
      </c>
      <c r="C47" s="18" t="n">
        <v>1237.5</v>
      </c>
    </row>
    <row r="48">
      <c r="A48" s="9" t="n"/>
      <c r="B48" s="17" t="inlineStr">
        <is>
          <t>Gestoría por cancelación de hipoteca</t>
        </is>
      </c>
      <c r="C48" s="18" t="n">
        <v>494</v>
      </c>
    </row>
    <row r="49">
      <c r="A49" s="9" t="n"/>
      <c r="B49" s="17" t="inlineStr">
        <is>
          <t>Registro de la propiedad por cancelación</t>
        </is>
      </c>
      <c r="C49" s="18" t="n">
        <v>1000</v>
      </c>
    </row>
    <row r="50">
      <c r="A50" s="19" t="inlineStr">
        <is>
          <t>Total venta</t>
        </is>
      </c>
      <c r="B50" s="20" t="n"/>
      <c r="C50" s="21">
        <f>SUM(C43:C49)</f>
        <v>109752.46</v>
      </c>
    </row>
    <row r="52" ht="17" customHeight="1">
      <c r="A52" s="4" t="inlineStr">
        <is>
          <t>CAPITAL NECESARIO PARA LA ACTUACIÓN  ·  SIN GASTOS DE VENTA</t>
        </is>
      </c>
      <c r="B52" s="4" t="n"/>
      <c r="C52" s="4" t="n"/>
    </row>
    <row r="53">
      <c r="A53" s="9" t="inlineStr">
        <is>
          <t>Compra del apartamento</t>
        </is>
      </c>
      <c r="B53" s="10" t="n"/>
      <c r="C53" s="18">
        <f>$C$8</f>
        <v>1500000</v>
      </c>
    </row>
    <row r="54">
      <c r="A54" s="9" t="inlineStr">
        <is>
          <t>Gastos derivados de la adquisición</t>
        </is>
      </c>
      <c r="B54" s="10" t="n"/>
      <c r="C54" s="18">
        <f>C23</f>
        <v>82314.5</v>
      </c>
    </row>
    <row r="55">
      <c r="A55" s="9" t="inlineStr">
        <is>
          <t>Gastos de financiación bancaria</t>
        </is>
      </c>
      <c r="B55" s="10" t="n"/>
      <c r="C55" s="18">
        <f>C34</f>
        <v>90386.01</v>
      </c>
    </row>
    <row r="56">
      <c r="A56" s="9" t="inlineStr">
        <is>
          <t>Gastos de reforma</t>
        </is>
      </c>
      <c r="B56" s="10" t="n"/>
      <c r="C56" s="18">
        <f>C42</f>
        <v>382653.94</v>
      </c>
    </row>
    <row r="57">
      <c r="A57" s="9" t="inlineStr">
        <is>
          <t>Fotografía y afines</t>
        </is>
      </c>
      <c r="B57" s="10" t="n"/>
      <c r="C57" s="18" t="n">
        <v>900</v>
      </c>
    </row>
    <row r="58" ht="18" customHeight="1">
      <c r="A58" s="22" t="inlineStr">
        <is>
          <t>Capital necesario</t>
        </is>
      </c>
      <c r="B58" s="23" t="n"/>
      <c r="C58" s="24">
        <f>SUM(C53:C57)</f>
        <v>2056254.45</v>
      </c>
    </row>
    <row r="60" ht="17" customHeight="1">
      <c r="A60" s="4" t="inlineStr">
        <is>
          <t>APORTES DE CAPITAL</t>
        </is>
      </c>
      <c r="B60" s="4" t="n"/>
      <c r="C60" s="4" t="n"/>
    </row>
    <row r="61">
      <c r="A61" s="5" t="inlineStr">
        <is>
          <t>Aporte bancario</t>
        </is>
      </c>
      <c r="B61" s="25" t="inlineStr">
        <is>
          <t>Hipoteca a nombre de la sociedad del Inversor, con su aval personal</t>
        </is>
      </c>
      <c r="C61" s="7" t="n">
        <v>825000</v>
      </c>
    </row>
    <row r="62">
      <c r="A62" s="5" t="inlineStr">
        <is>
          <t>Aporte de la constructora</t>
        </is>
      </c>
      <c r="B62" s="25" t="inlineStr">
        <is>
          <t>Ejecución y financiación de obra</t>
        </is>
      </c>
      <c r="C62" s="7" t="n">
        <v>325000</v>
      </c>
    </row>
    <row r="63">
      <c r="A63" s="13" t="inlineStr">
        <is>
          <t>Aporte del Inversor</t>
        </is>
      </c>
      <c r="B63" s="17" t="inlineStr">
        <is>
          <t>Completa el capital necesario de la actuación</t>
        </is>
      </c>
      <c r="C63" s="14">
        <f>C58-C61-C62</f>
        <v>906254.45</v>
      </c>
    </row>
    <row r="64">
      <c r="A64" s="19" t="inlineStr">
        <is>
          <t>Total aportes</t>
        </is>
      </c>
      <c r="B64" s="20" t="n"/>
      <c r="C64" s="21">
        <f>SUM(C61:C63)</f>
        <v>2056254.45</v>
      </c>
    </row>
    <row r="66" ht="17" customHeight="1">
      <c r="A66" s="4" t="inlineStr">
        <is>
          <t>RESULTADO DE LA OPERACIÓN</t>
        </is>
      </c>
      <c r="B66" s="4" t="n"/>
      <c r="C66" s="4" t="n"/>
    </row>
    <row r="67">
      <c r="A67" s="9" t="inlineStr">
        <is>
          <t>Total costes</t>
        </is>
      </c>
      <c r="B67" s="17" t="inlineStr">
        <is>
          <t>Sin el gasto de pignoración, que es un fondo recuperable · ver nota 1</t>
        </is>
      </c>
      <c r="C67" s="18">
        <f>$C$8+C23+C34+C42+C50-38000</f>
        <v>2127106.91</v>
      </c>
    </row>
    <row r="68">
      <c r="A68" s="9" t="inlineStr">
        <is>
          <t>Precio de venta estimado</t>
        </is>
      </c>
      <c r="B68" s="10" t="n"/>
      <c r="C68" s="18">
        <f>$C$12</f>
        <v>2499200</v>
      </c>
    </row>
    <row r="69" ht="18" customHeight="1">
      <c r="A69" s="22" t="inlineStr">
        <is>
          <t>Beneficio de la operación</t>
        </is>
      </c>
      <c r="B69" s="23" t="n"/>
      <c r="C69" s="24">
        <f>$C$12-C67</f>
        <v>372093.0899999999</v>
      </c>
    </row>
    <row r="70">
      <c r="A70" s="5" t="inlineStr">
        <is>
          <t>Ganancia de la constructora</t>
        </is>
      </c>
      <c r="B70" s="25" t="inlineStr">
        <is>
          <t>Importe fijado por Rebis; única cifra del modelo sin fórmula</t>
        </is>
      </c>
      <c r="C70" s="7" t="n">
        <v>71924.83</v>
      </c>
    </row>
    <row r="71">
      <c r="A71" s="9" t="inlineStr">
        <is>
          <t>Honorarios de gestión de Rebis</t>
        </is>
      </c>
      <c r="B71" s="17" t="inlineStr">
        <is>
          <t>20 % más IVA sobre el beneficio una vez deducida la constructora</t>
        </is>
      </c>
      <c r="C71" s="18">
        <f>ROUND((C69-C70)*0.242,2)</f>
        <v>72640.72</v>
      </c>
    </row>
    <row r="72">
      <c r="A72" s="9" t="inlineStr">
        <is>
          <t>Honorarios de Rebis por gestión y tramitación de la hipoteca</t>
        </is>
      </c>
      <c r="B72" s="17" t="inlineStr">
        <is>
          <t>2 % más IVA sobre el importe de hipoteca concedido</t>
        </is>
      </c>
      <c r="C72" s="18">
        <f>ROUND(C61*0.02*1.21,2)</f>
        <v>19965</v>
      </c>
    </row>
    <row r="73">
      <c r="A73" s="13" t="inlineStr">
        <is>
          <t>Ganancia del Inversor, antes de impuestos</t>
        </is>
      </c>
      <c r="B73" s="17" t="inlineStr">
        <is>
          <t>Recibe la totalidad del resultado restante</t>
        </is>
      </c>
      <c r="C73" s="14">
        <f>C69-C70-C71-C72</f>
        <v>207562.5399999998</v>
      </c>
    </row>
    <row r="74" ht="18" customHeight="1">
      <c r="A74" s="22" t="inlineStr">
        <is>
          <t>Rentabilidad del Inversor sobre el capital aportado</t>
        </is>
      </c>
      <c r="B74" s="23" t="n"/>
      <c r="C74" s="29">
        <f>C73/C63*100</f>
        <v>22.9033402264</v>
      </c>
    </row>
    <row r="75">
      <c r="A75" s="9" t="inlineStr">
        <is>
          <t>Rentabilidad antes de los honorarios de Rebis</t>
        </is>
      </c>
      <c r="B75" s="17" t="inlineStr">
        <is>
          <t>Equivalencia para comparar con operaciones sin gestión contratada</t>
        </is>
      </c>
      <c r="C75" s="26">
        <f>(C73+C71+C72)/C63*100</f>
        <v>33.1218522568</v>
      </c>
    </row>
    <row r="77" ht="17" customHeight="1">
      <c r="A77" s="4" t="inlineStr">
        <is>
          <t>NOTAS</t>
        </is>
      </c>
      <c r="B77" s="4" t="n"/>
      <c r="C77" s="4" t="n"/>
    </row>
    <row r="78" ht="12.5" customHeight="1">
      <c r="A78" s="30" t="inlineStr">
        <is>
          <t>1 · Pignoración. Los 38.000 € no son un gasto: son un fondo que el banco retiene en garantía de unas 13 cuotas del período de carencia, durante el cual no se amortiza capital y solo se pagan intereses. El fondo se libera mes a mes y vuelve al Inversor, de modo que aquí no se computa como coste de la operación, aunque el importe debe estar disponible desde el primer día.</t>
        </is>
      </c>
    </row>
    <row r="79" ht="12.5" customHeight="1"/>
    <row r="80" ht="12.5" customHeight="1">
      <c r="A80" s="30" t="inlineStr">
        <is>
          <t>2 · Honorarios de Rebis. Un 20 % más IVA sobre el beneficio una vez deducida la ganancia de la constructora, más un 2 % más IVA sobre el importe de hipoteca efectivamente concedido, por la gestión de la financiación y por el aval que Rebis aporta ante el banco.</t>
        </is>
      </c>
    </row>
    <row r="81" ht="12.5" customHeight="1"/>
    <row r="82" ht="12.5" customHeight="1">
      <c r="A82" s="30" t="inlineStr">
        <is>
          <t>3 · Rentabilidad. La cifra es posterior a los honorarios de Rebis y anterior a los impuestos del Inversor. El impuesto a la renta queda fuera del modelo, como en cualquier inversión, y depende de la residencia fiscal de cada aportante.</t>
        </is>
      </c>
    </row>
    <row r="83" ht="12.5" customHeight="1"/>
    <row r="84" ht="12.5" customHeight="1">
      <c r="A84" s="30" t="inlineStr">
        <is>
          <t>4 · En esta opción el Inversor constituye y administra la sociedad española, toma la hipoteca a su nombre y presta aval personal con su patrimonio. A cambio, el apalancamiento juega a su favor y recibe la totalidad del resultado restante, no una participación sobre él.</t>
        </is>
      </c>
    </row>
    <row r="85" ht="12.5" customHeight="1"/>
    <row r="86" ht="12.5" customHeight="1">
      <c r="A86" s="30" t="inlineStr">
        <is>
          <t>Las celdas con fondo cerámica son los datos de entrada del modelo: precio de compra, metros construidos, precio del m2 de venta y los aportes. El resto del cuadro se recalcula solo.</t>
        </is>
      </c>
    </row>
    <row r="87" ht="12.5" customHeight="1"/>
    <row r="89" ht="18" customHeight="1">
      <c r="A89" s="31" t="inlineStr">
        <is>
          <t>TRANSFORMAR CON CRITERIO.</t>
        </is>
      </c>
      <c r="B89" s="20" t="n"/>
      <c r="C89" s="32" t="inlineStr">
        <is>
          <t>rebis.com</t>
        </is>
      </c>
    </row>
  </sheetData>
  <mergeCells count="6">
    <mergeCell ref="A86:C87"/>
    <mergeCell ref="A82:C83"/>
    <mergeCell ref="A80:C81"/>
    <mergeCell ref="A84:C85"/>
    <mergeCell ref="A78:C79"/>
    <mergeCell ref="A4:C4"/>
  </mergeCells>
  <printOptions horizontalCentered="1"/>
  <pageMargins left="0.75" right="0.75" top="1" bottom="1" header="0.5" footer="0.5"/>
  <pageSetup orientation="portrait"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2026-09-22T22:31:23Z</dcterms:created>
  <dcterms:modified xsi:type="dcterms:W3CDTF">2026-09-22T22:31:23Z</dcterms:modified>
</cp:coreProperties>
</file>