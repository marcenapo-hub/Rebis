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ción 1 · Participativo" sheetId="1" state="visible" r:id="rId1"/>
    <sheet name="Opción 2 · Sociedad propia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<sst xmlns="http://schemas.openxmlformats.org/spreadsheetml/2006/main" count="187" uniqueCount="107">
  <si>
    <t>Cash-Flow del Inversor · Opción 1</t>
  </si>
  <si>
    <t>Apartamento calle Ruiz Jiménez 3, Madrid.  La operación se canaliza a través de la sociedad de Rebis y el Inversor entra mediante préstamo participativo.  Escenario conservador.</t>
  </si>
  <si>
    <t>RESUMEN DE COMPRA Y VENTA</t>
  </si>
  <si>
    <t>Precio de compra</t>
  </si>
  <si>
    <t>M2 construidos</t>
  </si>
  <si>
    <t>Precio del m2 de compra</t>
  </si>
  <si>
    <t>Precio del m2 de venta</t>
  </si>
  <si>
    <t>Precio de venta estimado</t>
  </si>
  <si>
    <t>COSTES  ·  IMPORTES CON IVA INCLUIDO</t>
  </si>
  <si>
    <t>ACTUACIÓN</t>
  </si>
  <si>
    <t>CONCEPTO</t>
  </si>
  <si>
    <t>IMPORTE</t>
  </si>
  <si>
    <t>Adquisición</t>
  </si>
  <si>
    <t>Comisión inmobiliaria</t>
  </si>
  <si>
    <t>Honorarios legales por análisis de documentación</t>
  </si>
  <si>
    <t>ITP · IVA · AJD</t>
  </si>
  <si>
    <t>Notaría</t>
  </si>
  <si>
    <t>Gestoría</t>
  </si>
  <si>
    <t>Registro de la propiedad</t>
  </si>
  <si>
    <t>IBI y tasas de basuras, proporcional 2026</t>
  </si>
  <si>
    <t>Total adquisición</t>
  </si>
  <si>
    <t>Financiación bancaria</t>
  </si>
  <si>
    <t>Tasación</t>
  </si>
  <si>
    <t>Pago otorgamiento de hipoteca (AJD)</t>
  </si>
  <si>
    <t>Comisión por otorgamiento de hipoteca</t>
  </si>
  <si>
    <t>Contribución especial Fundación CaixaBank</t>
  </si>
  <si>
    <t>Pignoración · fondo recuperable, ver nota 2</t>
  </si>
  <si>
    <t>Gastos de hipoteca</t>
  </si>
  <si>
    <t>Seguro de responsabilidad civil</t>
  </si>
  <si>
    <t>Total financiación bancaria</t>
  </si>
  <si>
    <t>Reforma</t>
  </si>
  <si>
    <t>Seguro de incendio</t>
  </si>
  <si>
    <t>Asamblea para aprobación de reformas en áreas comunes</t>
  </si>
  <si>
    <t>Obra</t>
  </si>
  <si>
    <t>Muebles</t>
  </si>
  <si>
    <t>Imprevistos</t>
  </si>
  <si>
    <t>Honorarios de interiorismo y arquitectura</t>
  </si>
  <si>
    <t>Impuestos corrientes durante la ejecución de obra</t>
  </si>
  <si>
    <t>Total reforma</t>
  </si>
  <si>
    <t>Venta</t>
  </si>
  <si>
    <t>Fotografía y afines</t>
  </si>
  <si>
    <t>IBI y tasas de basuras, proporcional 2027</t>
  </si>
  <si>
    <t>Plusvalía municipal</t>
  </si>
  <si>
    <t>Total venta</t>
  </si>
  <si>
    <t>Financiación por venta</t>
  </si>
  <si>
    <t>Comisión por cancelación de hipoteca</t>
  </si>
  <si>
    <t>Gestoría por cancelación de hipoteca</t>
  </si>
  <si>
    <t>Registro de la propiedad por cancelación</t>
  </si>
  <si>
    <t>Total financiación por venta</t>
  </si>
  <si>
    <t>CAPITAL NECESARIO PARA LA ACTUACIÓN  ·  SIN GASTOS DE VENTA NI DE FINANCIACIÓN</t>
  </si>
  <si>
    <t>Compra del apartamento</t>
  </si>
  <si>
    <t>Gastos derivados de la adquisición</t>
  </si>
  <si>
    <t>Gastos de reforma</t>
  </si>
  <si>
    <t>Capital necesario</t>
  </si>
  <si>
    <t>APORTES DE CAPITAL</t>
  </si>
  <si>
    <t>Aporte de capital bancario · Rebis</t>
  </si>
  <si>
    <t>Lo aporta Rebis sobre su propia sociedad y su historial</t>
  </si>
  <si>
    <t>Gastos de financiación a cargo de Rebis</t>
  </si>
  <si>
    <t>Rebis retiene el beneficio de la financiación, de modo que no se repercuten al proyecto</t>
  </si>
  <si>
    <t>Aporte neto de Rebis</t>
  </si>
  <si>
    <t>Aporte de la constructora</t>
  </si>
  <si>
    <t>Ejecución y financiación de obra</t>
  </si>
  <si>
    <t>Aporte del Inversor</t>
  </si>
  <si>
    <t>Completa el capital necesario de la actuación</t>
  </si>
  <si>
    <t>Total aportes</t>
  </si>
  <si>
    <t>PORCENTAJES DE PARTICIPACIÓN</t>
  </si>
  <si>
    <t>Rebis</t>
  </si>
  <si>
    <t>Constructora</t>
  </si>
  <si>
    <t>Inversor</t>
  </si>
  <si>
    <t>Total</t>
  </si>
  <si>
    <t>RESULTADO DE LA OPERACIÓN</t>
  </si>
  <si>
    <t>Total costes generales</t>
  </si>
  <si>
    <t>Costes de financiación a cargo de Rebis</t>
  </si>
  <si>
    <t>Gastos de financiación por adquisición y por venta</t>
  </si>
  <si>
    <t>Beneficio de la operación · sin los costes a cargo de Rebis</t>
  </si>
  <si>
    <t>Ganancia de la constructora</t>
  </si>
  <si>
    <t>Importe fijado por Rebis; única cifra del modelo sin fórmula</t>
  </si>
  <si>
    <t>Honorarios de gestión de Rebis</t>
  </si>
  <si>
    <t>20 % más IVA sobre el beneficio una vez deducida la constructora</t>
  </si>
  <si>
    <t>Beneficio a repartir entre los aportantes</t>
  </si>
  <si>
    <t>Ganancia del Inversor, antes de impuestos</t>
  </si>
  <si>
    <t>Su porcentaje de participación sobre el beneficio a repartir</t>
  </si>
  <si>
    <t>Rentabilidad antes de los honorarios de Rebis</t>
  </si>
  <si>
    <t>Rentabilidad del Inversor sobre el capital aportado</t>
  </si>
  <si>
    <t>Después de deducir los honorarios de Rebis</t>
  </si>
  <si>
    <t>NOTAS</t>
  </si>
  <si>
    <t>1 · En esta opción el Inversor no figura ante el banco, no presta aval y no constituye ni administra sociedad alguna en España. La financiación bancaria, su coste y su riesgo quedan íntegramente del lado de Rebis, y por eso el apalancamiento no juega a su favor.</t>
  </si>
  <si>
    <t>2 · Pignoración. Los 38.000 € no son un gasto: son un fondo que el banco retiene en garantía de unas 13 cuotas del período de carencia, durante el cual no se amortiza capital y solo se pagan intereses. El fondo se libera mes a mes contra esas cuotas. Figura en el cuadro porque el importe debe estar disponible desde el primer día, pero el coste real de financiación de la operación es la diferencia.</t>
  </si>
  <si>
    <t>3 · Honorarios de Rebis. Un 20 % más IVA sobre el beneficio de la operación. Rebis no cobra comisión por la gestión de la hipoteca.</t>
  </si>
  <si>
    <t>4 · Rentabilidad. La cifra es posterior a los honorarios de Rebis y anterior a los impuestos del Inversor. El impuesto a la renta queda fuera del modelo, como en cualquier inversión, y depende de la residencia fiscal de cada aportante.</t>
  </si>
  <si>
    <t>Las celdas con fondo cerámica son los datos de entrada del modelo: precio de compra, metros construidos, precio del m2 de venta y los aportes. El resto del cuadro se recalcula solo.</t>
  </si>
  <si>
    <t>rebis.com</t>
  </si>
  <si>
    <t>Cash-Flow del Inversor · Opción 2</t>
  </si>
  <si>
    <t>Apartamento calle Ruiz Jiménez 3, Madrid.  La sociedad titular del inmueble es del Inversor, que toma la hipoteca a su nombre.  Escenario conservador.</t>
  </si>
  <si>
    <t>CAPITAL NECESARIO PARA LA ACTUACIÓN  ·  SIN GASTOS DE VENTA</t>
  </si>
  <si>
    <t>Gastos de financiación bancaria</t>
  </si>
  <si>
    <t>Aporte bancario</t>
  </si>
  <si>
    <t>Hipoteca a nombre de la sociedad del Inversor, con su aval personal</t>
  </si>
  <si>
    <t>Total costes</t>
  </si>
  <si>
    <t>Sin el gasto de pignoración, que es un fondo recuperable · ver nota 2</t>
  </si>
  <si>
    <t>Beneficio de la operación</t>
  </si>
  <si>
    <t>Honorarios de Rebis por gestión y tramitación de la hipoteca</t>
  </si>
  <si>
    <t>2 % más IVA sobre el importe de hipoteca concedido</t>
  </si>
  <si>
    <t>Recibe la totalidad del resultado restante</t>
  </si>
  <si>
    <t>1 · En esta opción el Inversor constituye y administra la sociedad española, toma la hipoteca a su nombre, presta aval personal con su patrimonio y responde civil, fiscal y penalmente como administrador. A cambio, el apalancamiento juega a su favor y recibe la totalidad del resultado restante, no una participación sobre él.</t>
  </si>
  <si>
    <t>2 · Pignoración. Los 38.000 € no son un gasto: son un fondo que el banco retiene en garantía de unas 13 cuotas del período de carencia, durante el cual no se amortiza capital y solo se pagan intereses. El fondo se libera mes a mes y vuelve al Inversor, de modo que aquí no se computa como coste de la operación, aunque el importe debe estar disponible desde el primer día.</t>
  </si>
  <si>
    <t>3 · Honorarios de Rebis. Un 20 % más IVA sobre el beneficio una vez deducida la ganancia de la constructora, más un 2 % más IVA sobre el importe de hipoteca efectivamente concedido, por la gestión de la financiación y por el aval que Rebis aporta ante el banco.</t>
  </si>
</sst>
</file>

<file path=xl/styles.xml><?xml version="1.0" encoding="utf-8"?>
<styleSheet xmlns="http://schemas.openxmlformats.org/spreadsheetml/2006/main">
  <numFmts count="3">
    <numFmt numFmtId="164" formatCode="#,##0 &quot;€&quot;;(#,##0 &quot;€&quot;);—"/>
    <numFmt numFmtId="165" formatCode="#,##0.00 &quot;€&quot;;(#,##0.00 &quot;€&quot;);—"/>
    <numFmt numFmtId="166" formatCode="0.00&quot; %&quot;"/>
  </numFmts>
  <fonts count="12">
    <font>
      <name val="Calibri"/>
      <family val="2"/>
      <color theme="1"/>
      <sz val="11"/>
      <scheme val="minor"/>
    </font>
    <font>
      <name val="Arial"/>
      <b val="1"/>
      <color rgb="FF000000"/>
      <sz val="17"/>
    </font>
    <font>
      <name val="Arial"/>
      <color rgb="FF515150"/>
      <sz val="9.5"/>
    </font>
    <font>
      <name val="Arial"/>
      <b val="1"/>
      <color rgb="FFFFFFFF"/>
      <sz val="8.5"/>
    </font>
    <font>
      <name val="Arial"/>
      <color rgb="FF000000"/>
      <sz val="9"/>
    </font>
    <font>
      <name val="Arial"/>
      <b val="1"/>
      <color rgb="FF000000"/>
      <sz val="9"/>
    </font>
    <font>
      <name val="Arial"/>
      <b val="1"/>
      <color rgb="FF808282"/>
      <sz val="7.5"/>
    </font>
    <font>
      <name val="Arial"/>
      <color rgb="FF808282"/>
      <sz val="8.5"/>
    </font>
    <font>
      <name val="Arial"/>
      <b val="1"/>
      <color rgb="FF000000"/>
      <sz val="10"/>
    </font>
    <font>
      <name val="Arial"/>
      <b val="1"/>
      <color rgb="FFB59169"/>
      <sz val="10"/>
    </font>
    <font>
      <name val="Arial"/>
      <color rgb="FF515150"/>
      <sz val="8"/>
    </font>
    <font>
      <name val="Arial"/>
      <color rgb="FFB59169"/>
      <sz val="9"/>
    </font>
  </fonts>
  <fills count="5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D7D1CA"/>
      </patternFill>
    </fill>
    <fill>
      <patternFill patternType="solid">
        <fgColor rgb="FFF0F1EF"/>
      </patternFill>
    </fill>
  </fills>
  <borders count="5">
    <border>
      <left/>
      <right/>
      <top/>
      <bottom/>
      <diagonal/>
    </border>
    <border>
      <bottom style="medium">
        <color rgb="FF000000"/>
      </bottom>
    </border>
    <border>
      <bottom style="hair">
        <color rgb="FFD7D1CA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3" fillId="2" borderId="0" pivotButton="0" quotePrefix="0" xfId="0"/>
    <xf numFmtId="0" fontId="4" fillId="3" borderId="2" pivotButton="0" quotePrefix="0" xfId="0"/>
    <xf numFmtId="0" fontId="0" fillId="3" borderId="2" pivotButton="0" quotePrefix="0" xfId="0"/>
    <xf numFmtId="164" fontId="4" fillId="3" borderId="2" applyAlignment="1" pivotButton="0" quotePrefix="0" xfId="0">
      <alignment horizontal="right"/>
    </xf>
    <xf numFmtId="4" fontId="4" fillId="3" borderId="2" applyAlignment="1" pivotButton="0" quotePrefix="0" xfId="0">
      <alignment horizontal="right"/>
    </xf>
    <xf numFmtId="0" fontId="4" fillId="0" borderId="2" pivotButton="0" quotePrefix="0" xfId="0"/>
    <xf numFmtId="0" fontId="0" fillId="0" borderId="2" pivotButton="0" quotePrefix="0" xfId="0"/>
    <xf numFmtId="165" fontId="4" fillId="0" borderId="2" applyAlignment="1" pivotButton="0" quotePrefix="0" xfId="0">
      <alignment horizontal="right"/>
    </xf>
    <xf numFmtId="165" fontId="4" fillId="3" borderId="2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6" fillId="0" borderId="3" pivotButton="0" quotePrefix="0" xfId="0"/>
    <xf numFmtId="0" fontId="6" fillId="0" borderId="3" applyAlignment="1" pivotButton="0" quotePrefix="0" xfId="0">
      <alignment horizontal="right"/>
    </xf>
    <xf numFmtId="0" fontId="7" fillId="0" borderId="2" pivotButton="0" quotePrefix="0" xfId="0"/>
    <xf numFmtId="164" fontId="4" fillId="0" borderId="2" applyAlignment="1" pivotButton="0" quotePrefix="0" xfId="0">
      <alignment horizontal="right"/>
    </xf>
    <xf numFmtId="0" fontId="5" fillId="0" borderId="4" pivotButton="0" quotePrefix="0" xfId="0"/>
    <xf numFmtId="0" fontId="0" fillId="0" borderId="4" pivotButton="0" quotePrefix="0" xfId="0"/>
    <xf numFmtId="164" fontId="5" fillId="0" borderId="4" applyAlignment="1" pivotButton="0" quotePrefix="0" xfId="0">
      <alignment horizontal="right"/>
    </xf>
    <xf numFmtId="0" fontId="5" fillId="4" borderId="4" pivotButton="0" quotePrefix="0" xfId="0"/>
    <xf numFmtId="0" fontId="0" fillId="4" borderId="4" pivotButton="0" quotePrefix="0" xfId="0"/>
    <xf numFmtId="164" fontId="8" fillId="4" borderId="4" applyAlignment="1" pivotButton="0" quotePrefix="0" xfId="0">
      <alignment horizontal="right"/>
    </xf>
    <xf numFmtId="0" fontId="7" fillId="3" borderId="2" pivotButton="0" quotePrefix="0" xfId="0"/>
    <xf numFmtId="166" fontId="4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0" borderId="4" applyAlignment="1" pivotButton="0" quotePrefix="0" xfId="0">
      <alignment horizontal="right"/>
    </xf>
    <xf numFmtId="166" fontId="9" fillId="4" borderId="4" applyAlignment="1" pivotButton="0" quotePrefix="0" xfId="0">
      <alignment horizontal="right"/>
    </xf>
    <xf numFmtId="0" fontId="10" fillId="0" borderId="0" applyAlignment="1" pivotButton="0" quotePrefix="0" xfId="0">
      <alignment vertical="top" wrapText="1"/>
    </xf>
    <xf numFmtId="0" fontId="11" fillId="0" borderId="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104775</colOff>
      <row>0</row>
      <rowOff>95250</rowOff>
    </from>
    <ext cx="1143000" cy="43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104775</colOff>
      <row>0</row>
      <rowOff>95250</rowOff>
    </from>
    <ext cx="1143000" cy="43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C9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18" customWidth="1" min="3" max="3"/>
  </cols>
  <sheetData>
    <row r="1" ht="52" customHeight="1"/>
    <row r="2" ht="8" customHeight="1"/>
    <row r="3" ht="24" customHeight="1">
      <c r="A3" s="1" t="s">
        <v>0</v>
      </c>
    </row>
    <row r="4" ht="30" customHeight="1">
      <c r="A4" s="2" t="s">
        <v>1</v>
      </c>
    </row>
    <row r="5" ht="6" customHeight="1">
      <c r="A5" s="3" t="n"/>
      <c r="B5" s="3" t="n"/>
      <c r="C5" s="3" t="n"/>
    </row>
    <row r="7" ht="17" customHeight="1">
      <c r="A7" s="4" t="s">
        <v>2</v>
      </c>
      <c r="B7" s="4" t="n"/>
      <c r="C7" s="4" t="n"/>
    </row>
    <row r="8">
      <c r="A8" s="5" t="s">
        <v>3</v>
      </c>
      <c r="B8" s="6" t="n"/>
      <c r="C8" s="7" t="n">
        <v>1500000</v>
      </c>
    </row>
    <row r="9">
      <c r="A9" s="5" t="s">
        <v>4</v>
      </c>
      <c r="B9" s="6" t="n"/>
      <c r="C9" s="8" t="n">
        <v>176</v>
      </c>
    </row>
    <row r="10">
      <c r="A10" s="9" t="s">
        <v>5</v>
      </c>
      <c r="B10" s="10" t="n"/>
      <c r="C10" s="11">
        <f>C8/C9</f>
        <v>8522.7272727273</v>
      </c>
    </row>
    <row r="11">
      <c r="A11" s="5" t="s">
        <v>6</v>
      </c>
      <c r="B11" s="6" t="n"/>
      <c r="C11" s="12" t="n">
        <v>14200</v>
      </c>
    </row>
    <row r="12">
      <c r="A12" s="13" t="s">
        <v>7</v>
      </c>
      <c r="B12" s="10" t="n"/>
      <c r="C12" s="14">
        <f>C11*C9</f>
        <v>2499200</v>
      </c>
    </row>
    <row r="14" ht="17" customHeight="1">
      <c r="A14" s="4" t="s">
        <v>8</v>
      </c>
      <c r="B14" s="4" t="n"/>
      <c r="C14" s="4" t="n"/>
    </row>
    <row r="15">
      <c r="A15" s="15" t="s">
        <v>9</v>
      </c>
      <c r="B15" s="15" t="s">
        <v>10</v>
      </c>
      <c r="C15" s="16" t="s">
        <v>11</v>
      </c>
    </row>
    <row r="16">
      <c r="A16" s="9" t="s">
        <v>12</v>
      </c>
      <c r="B16" s="17" t="s">
        <v>13</v>
      </c>
      <c r="C16" s="18" t="n">
        <v>45375</v>
      </c>
    </row>
    <row r="17">
      <c r="A17" s="9" t="n"/>
      <c r="B17" s="17" t="s">
        <v>14</v>
      </c>
      <c r="C17" s="18" t="n">
        <v>1270.5</v>
      </c>
    </row>
    <row r="18">
      <c r="A18" s="9" t="n"/>
      <c r="B18" s="17" t="s">
        <v>15</v>
      </c>
      <c r="C18" s="18" t="n">
        <v>30000</v>
      </c>
    </row>
    <row r="19">
      <c r="A19" s="9" t="n"/>
      <c r="B19" s="17" t="s">
        <v>16</v>
      </c>
      <c r="C19" s="18" t="n">
        <v>2700</v>
      </c>
    </row>
    <row r="20">
      <c r="A20" s="9" t="n"/>
      <c r="B20" s="17" t="s">
        <v>17</v>
      </c>
      <c r="C20" s="18" t="n">
        <v>494</v>
      </c>
    </row>
    <row r="21">
      <c r="A21" s="9" t="n"/>
      <c r="B21" s="17" t="s">
        <v>18</v>
      </c>
      <c r="C21" s="18" t="n">
        <v>1600</v>
      </c>
    </row>
    <row r="22">
      <c r="A22" s="9" t="n"/>
      <c r="B22" s="17" t="s">
        <v>19</v>
      </c>
      <c r="C22" s="18" t="n">
        <v>875</v>
      </c>
    </row>
    <row r="23">
      <c r="A23" s="19" t="s">
        <v>20</v>
      </c>
      <c r="B23" s="20" t="n"/>
      <c r="C23" s="21">
        <f>SUM(C16:C22)</f>
        <v>82314.5</v>
      </c>
    </row>
    <row r="24">
      <c r="A24" s="9" t="s">
        <v>21</v>
      </c>
      <c r="B24" s="17" t="s">
        <v>22</v>
      </c>
      <c r="C24" s="18" t="n">
        <v>605</v>
      </c>
    </row>
    <row r="25">
      <c r="A25" s="9" t="n"/>
      <c r="B25" s="17" t="s">
        <v>23</v>
      </c>
      <c r="C25" s="18" t="n">
        <v>9000</v>
      </c>
    </row>
    <row r="26">
      <c r="A26" s="9" t="n"/>
      <c r="B26" s="17" t="s">
        <v>24</v>
      </c>
      <c r="C26" s="18" t="n">
        <v>2475</v>
      </c>
    </row>
    <row r="27">
      <c r="A27" s="9" t="n"/>
      <c r="B27" s="17" t="s">
        <v>25</v>
      </c>
      <c r="C27" s="18" t="n">
        <v>1200</v>
      </c>
    </row>
    <row r="28">
      <c r="A28" s="9" t="n"/>
      <c r="B28" s="17" t="s">
        <v>26</v>
      </c>
      <c r="C28" s="18" t="n">
        <v>38000</v>
      </c>
    </row>
    <row r="29">
      <c r="A29" s="9" t="n"/>
      <c r="B29" s="17" t="s">
        <v>27</v>
      </c>
      <c r="C29" s="18" t="n">
        <v>35062.5</v>
      </c>
    </row>
    <row r="30">
      <c r="A30" s="9" t="n"/>
      <c r="B30" s="17" t="s">
        <v>28</v>
      </c>
      <c r="C30" s="18" t="n">
        <v>649.51</v>
      </c>
    </row>
    <row r="31">
      <c r="A31" s="9" t="n"/>
      <c r="B31" s="17" t="s">
        <v>16</v>
      </c>
      <c r="C31" s="18" t="n">
        <v>2000</v>
      </c>
    </row>
    <row r="32">
      <c r="A32" s="9" t="n"/>
      <c r="B32" s="17" t="s">
        <v>17</v>
      </c>
      <c r="C32" s="18" t="n">
        <v>494</v>
      </c>
    </row>
    <row r="33">
      <c r="A33" s="9" t="n"/>
      <c r="B33" s="17" t="s">
        <v>18</v>
      </c>
      <c r="C33" s="18" t="n">
        <v>900</v>
      </c>
    </row>
    <row r="34">
      <c r="A34" s="19" t="s">
        <v>29</v>
      </c>
      <c r="B34" s="20" t="n"/>
      <c r="C34" s="21">
        <f>SUM(C24:C33)</f>
        <v>90386.01</v>
      </c>
    </row>
    <row r="35">
      <c r="A35" s="9" t="s">
        <v>30</v>
      </c>
      <c r="B35" s="17" t="s">
        <v>31</v>
      </c>
      <c r="C35" s="18" t="n">
        <v>703.9400000000001</v>
      </c>
    </row>
    <row r="36">
      <c r="A36" s="9" t="n"/>
      <c r="B36" s="17" t="s">
        <v>32</v>
      </c>
      <c r="C36" s="18" t="n">
        <v>150</v>
      </c>
    </row>
    <row r="37">
      <c r="A37" s="9" t="n"/>
      <c r="B37" s="17" t="s">
        <v>33</v>
      </c>
      <c r="C37" s="18" t="n">
        <v>325000</v>
      </c>
    </row>
    <row r="38">
      <c r="A38" s="9" t="n"/>
      <c r="B38" s="17" t="s">
        <v>34</v>
      </c>
      <c r="C38" s="18" t="n">
        <v>30000</v>
      </c>
    </row>
    <row r="39">
      <c r="A39" s="9" t="n"/>
      <c r="B39" s="17" t="s">
        <v>35</v>
      </c>
      <c r="C39" s="18" t="n">
        <v>15000</v>
      </c>
    </row>
    <row r="40">
      <c r="A40" s="9" t="n"/>
      <c r="B40" s="17" t="s">
        <v>36</v>
      </c>
      <c r="C40" s="18" t="n">
        <v>6500</v>
      </c>
    </row>
    <row r="41">
      <c r="A41" s="9" t="n"/>
      <c r="B41" s="17" t="s">
        <v>37</v>
      </c>
      <c r="C41" s="18" t="n">
        <v>5300</v>
      </c>
    </row>
    <row r="42">
      <c r="A42" s="19" t="s">
        <v>38</v>
      </c>
      <c r="B42" s="20" t="n"/>
      <c r="C42" s="21">
        <f>SUM(C35:C41)</f>
        <v>382653.94</v>
      </c>
    </row>
    <row r="43">
      <c r="A43" s="9" t="s">
        <v>39</v>
      </c>
      <c r="B43" s="17" t="s">
        <v>40</v>
      </c>
      <c r="C43" s="18" t="n">
        <v>900</v>
      </c>
    </row>
    <row r="44">
      <c r="A44" s="9" t="n"/>
      <c r="B44" s="17" t="s">
        <v>41</v>
      </c>
      <c r="C44" s="18" t="n">
        <v>400</v>
      </c>
    </row>
    <row r="45">
      <c r="A45" s="9" t="n"/>
      <c r="B45" s="17" t="s">
        <v>13</v>
      </c>
      <c r="C45" s="18">
        <f>ROUND($C$12*0.0363,2)</f>
        <v>90720.96</v>
      </c>
    </row>
    <row r="46">
      <c r="A46" s="9" t="n"/>
      <c r="B46" s="17" t="s">
        <v>42</v>
      </c>
      <c r="C46" s="18" t="n">
        <v>15000</v>
      </c>
    </row>
    <row r="47">
      <c r="A47" s="19" t="s">
        <v>43</v>
      </c>
      <c r="B47" s="20" t="n"/>
      <c r="C47" s="21">
        <f>SUM(C43:C46)</f>
        <v>107020.96</v>
      </c>
    </row>
    <row r="48">
      <c r="A48" s="9" t="s">
        <v>44</v>
      </c>
      <c r="B48" s="17" t="s">
        <v>45</v>
      </c>
      <c r="C48" s="18" t="n">
        <v>1237.5</v>
      </c>
    </row>
    <row r="49">
      <c r="A49" s="9" t="n"/>
      <c r="B49" s="17" t="s">
        <v>46</v>
      </c>
      <c r="C49" s="18" t="n">
        <v>494</v>
      </c>
    </row>
    <row r="50">
      <c r="A50" s="9" t="n"/>
      <c r="B50" s="17" t="s">
        <v>47</v>
      </c>
      <c r="C50" s="18" t="n">
        <v>1000</v>
      </c>
    </row>
    <row r="51">
      <c r="A51" s="19" t="s">
        <v>48</v>
      </c>
      <c r="B51" s="20" t="n"/>
      <c r="C51" s="21">
        <f>SUM(C48:C50)</f>
        <v>2731.5</v>
      </c>
    </row>
    <row r="53" ht="17" customHeight="1">
      <c r="A53" s="4" t="s">
        <v>49</v>
      </c>
      <c r="B53" s="4" t="n"/>
      <c r="C53" s="4" t="n"/>
    </row>
    <row r="54">
      <c r="A54" s="9" t="s">
        <v>50</v>
      </c>
      <c r="B54" s="10" t="n"/>
      <c r="C54" s="18">
        <f>$C$8</f>
        <v>1500000</v>
      </c>
    </row>
    <row r="55">
      <c r="A55" s="9" t="s">
        <v>51</v>
      </c>
      <c r="B55" s="10" t="n"/>
      <c r="C55" s="18">
        <f>C23</f>
        <v>82314.5</v>
      </c>
    </row>
    <row r="56">
      <c r="A56" s="9" t="s">
        <v>52</v>
      </c>
      <c r="B56" s="10" t="n"/>
      <c r="C56" s="18">
        <f>C42</f>
        <v>382653.94</v>
      </c>
    </row>
    <row r="57">
      <c r="A57" s="9" t="s">
        <v>40</v>
      </c>
      <c r="B57" s="10" t="n"/>
      <c r="C57" s="18" t="n">
        <v>900</v>
      </c>
    </row>
    <row r="58" ht="18" customHeight="1">
      <c r="A58" s="22" t="s">
        <v>53</v>
      </c>
      <c r="B58" s="23" t="n"/>
      <c r="C58" s="24">
        <f>SUM(C54:C57)</f>
        <v>1965868.44</v>
      </c>
    </row>
    <row r="60" ht="17" customHeight="1">
      <c r="A60" s="4" t="s">
        <v>54</v>
      </c>
      <c r="B60" s="4" t="n"/>
      <c r="C60" s="4" t="n"/>
    </row>
    <row r="61">
      <c r="A61" s="5" t="s">
        <v>55</v>
      </c>
      <c r="B61" s="25" t="s">
        <v>56</v>
      </c>
      <c r="C61" s="7" t="n">
        <v>825000</v>
      </c>
    </row>
    <row r="62">
      <c r="A62" s="9" t="s">
        <v>57</v>
      </c>
      <c r="B62" s="17" t="s">
        <v>58</v>
      </c>
      <c r="C62" s="18">
        <f>-C34</f>
        <v>-90386.01</v>
      </c>
    </row>
    <row r="63">
      <c r="A63" s="13" t="s">
        <v>59</v>
      </c>
      <c r="B63" s="10" t="n"/>
      <c r="C63" s="14">
        <f>C61+C62</f>
        <v>734613.99</v>
      </c>
    </row>
    <row r="64">
      <c r="A64" s="5" t="s">
        <v>60</v>
      </c>
      <c r="B64" s="25" t="s">
        <v>61</v>
      </c>
      <c r="C64" s="7" t="n">
        <v>325000</v>
      </c>
    </row>
    <row r="65">
      <c r="A65" s="13" t="s">
        <v>62</v>
      </c>
      <c r="B65" s="17" t="s">
        <v>63</v>
      </c>
      <c r="C65" s="14">
        <f>C58-C63-C64</f>
        <v>906254.45</v>
      </c>
    </row>
    <row r="66">
      <c r="A66" s="19" t="s">
        <v>64</v>
      </c>
      <c r="B66" s="20" t="n"/>
      <c r="C66" s="21">
        <f>C63+C64+C65</f>
        <v>1965868.44</v>
      </c>
    </row>
    <row r="68" ht="17" customHeight="1">
      <c r="A68" s="4" t="s">
        <v>65</v>
      </c>
      <c r="B68" s="4" t="n"/>
      <c r="C68" s="4" t="n"/>
    </row>
    <row r="69">
      <c r="A69" s="9" t="s">
        <v>66</v>
      </c>
      <c r="B69" s="10" t="n"/>
      <c r="C69" s="26">
        <f>C63/C58*100</f>
        <v>37.3684207474</v>
      </c>
    </row>
    <row r="70">
      <c r="A70" s="9" t="s">
        <v>67</v>
      </c>
      <c r="B70" s="10" t="n"/>
      <c r="C70" s="26">
        <f>C64/C58*100</f>
        <v>16.5321337576</v>
      </c>
    </row>
    <row r="71">
      <c r="A71" s="13" t="s">
        <v>68</v>
      </c>
      <c r="B71" s="10" t="n"/>
      <c r="C71" s="27">
        <f>C65/C58*100</f>
        <v>46.0994454949</v>
      </c>
    </row>
    <row r="72">
      <c r="A72" s="19" t="s">
        <v>69</v>
      </c>
      <c r="B72" s="20" t="n"/>
      <c r="C72" s="28">
        <f>C69+C70+C71</f>
        <v>100</v>
      </c>
    </row>
    <row r="74" ht="17" customHeight="1">
      <c r="A74" s="4" t="s">
        <v>70</v>
      </c>
      <c r="B74" s="4" t="n"/>
      <c r="C74" s="4" t="n"/>
    </row>
    <row r="75">
      <c r="A75" s="9" t="s">
        <v>71</v>
      </c>
      <c r="B75" s="10" t="n"/>
      <c r="C75" s="18">
        <f>$C$8+C23+C34+C42+C47+C51</f>
        <v>2165106.91</v>
      </c>
    </row>
    <row r="76">
      <c r="A76" s="9" t="s">
        <v>7</v>
      </c>
      <c r="B76" s="10" t="n"/>
      <c r="C76" s="18">
        <f>$C$12</f>
        <v>2499200</v>
      </c>
    </row>
    <row r="77">
      <c r="A77" s="9" t="s">
        <v>72</v>
      </c>
      <c r="B77" s="17" t="s">
        <v>73</v>
      </c>
      <c r="C77" s="18">
        <f>C34+C51</f>
        <v>93117.51</v>
      </c>
    </row>
    <row r="78" ht="18" customHeight="1">
      <c r="A78" s="22" t="s">
        <v>74</v>
      </c>
      <c r="B78" s="23" t="n"/>
      <c r="C78" s="24">
        <f>$C$12-C75+C77</f>
        <v>427210.5999999999</v>
      </c>
    </row>
    <row r="79">
      <c r="A79" s="5" t="s">
        <v>75</v>
      </c>
      <c r="B79" s="25" t="s">
        <v>76</v>
      </c>
      <c r="C79" s="7" t="n">
        <v>70846.89999999999</v>
      </c>
    </row>
    <row r="80">
      <c r="A80" s="9" t="s">
        <v>77</v>
      </c>
      <c r="B80" s="17" t="s">
        <v>78</v>
      </c>
      <c r="C80" s="18">
        <f>ROUND((C78-C79)*0.242,2)</f>
        <v>86240.02</v>
      </c>
    </row>
    <row r="81">
      <c r="A81" s="19" t="s">
        <v>79</v>
      </c>
      <c r="B81" s="20" t="n"/>
      <c r="C81" s="21">
        <f>C78-C79-C80</f>
        <v>270123.6799999998</v>
      </c>
    </row>
    <row r="82">
      <c r="A82" s="13" t="s">
        <v>80</v>
      </c>
      <c r="B82" s="17" t="s">
        <v>81</v>
      </c>
      <c r="C82" s="14">
        <f>ROUND(C81*C71/100,2)</f>
        <v>124525.52</v>
      </c>
    </row>
    <row r="83" ht="18" customHeight="1">
      <c r="A83" s="22" t="s">
        <v>82</v>
      </c>
      <c r="B83" s="23" t="n"/>
      <c r="C83" s="29">
        <f>(C82+C80*C71/100)/C65*100</f>
        <v>18.1275458581</v>
      </c>
    </row>
    <row r="84">
      <c r="A84" s="9" t="s">
        <v>83</v>
      </c>
      <c r="B84" s="17" t="s">
        <v>84</v>
      </c>
      <c r="C84" s="26">
        <f>C82/C65*100</f>
        <v>13.740679563</v>
      </c>
    </row>
    <row r="86" ht="17" customHeight="1">
      <c r="A86" s="4" t="s">
        <v>85</v>
      </c>
      <c r="B86" s="4" t="n"/>
      <c r="C86" s="4" t="n"/>
    </row>
    <row r="87" ht="18.5" customHeight="1">
      <c r="A87" s="30" t="s">
        <v>86</v>
      </c>
    </row>
    <row r="88" ht="18.5" customHeight="1"/>
    <row r="89" ht="24" customHeight="1">
      <c r="A89" s="30" t="s">
        <v>87</v>
      </c>
    </row>
    <row r="90" ht="24" customHeight="1"/>
    <row r="91" ht="13" customHeight="1">
      <c r="A91" s="30" t="s">
        <v>88</v>
      </c>
    </row>
    <row r="92" ht="13" customHeight="1"/>
    <row r="93" ht="13" customHeight="1">
      <c r="A93" s="30" t="s">
        <v>89</v>
      </c>
    </row>
    <row r="94" ht="13" customHeight="1"/>
    <row r="95" ht="13" customHeight="1">
      <c r="A95" s="30" t="s">
        <v>90</v>
      </c>
    </row>
    <row r="96" ht="13" customHeight="1"/>
    <row r="98" ht="18" customHeight="1">
      <c r="A98" s="20" t="n"/>
      <c r="B98" s="20" t="n"/>
      <c r="C98" s="31" t="s">
        <v>91</v>
      </c>
    </row>
  </sheetData>
  <mergeCells count="6">
    <mergeCell ref="A89:C90"/>
    <mergeCell ref="A91:C92"/>
    <mergeCell ref="A87:C88"/>
    <mergeCell ref="A93:C94"/>
    <mergeCell ref="A4:C4"/>
    <mergeCell ref="A95:C96"/>
  </mergeCells>
  <printOptions horizontalCentered="1"/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C8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18" customWidth="1" min="3" max="3"/>
  </cols>
  <sheetData>
    <row r="1" ht="52" customHeight="1"/>
    <row r="2" ht="8" customHeight="1"/>
    <row r="3" ht="24" customHeight="1">
      <c r="A3" s="1" t="s">
        <v>92</v>
      </c>
    </row>
    <row r="4" ht="30" customHeight="1">
      <c r="A4" s="2" t="s">
        <v>93</v>
      </c>
    </row>
    <row r="5" ht="6" customHeight="1">
      <c r="A5" s="3" t="n"/>
      <c r="B5" s="3" t="n"/>
      <c r="C5" s="3" t="n"/>
    </row>
    <row r="7" ht="17" customHeight="1">
      <c r="A7" s="4" t="s">
        <v>2</v>
      </c>
      <c r="B7" s="4" t="n"/>
      <c r="C7" s="4" t="n"/>
    </row>
    <row r="8">
      <c r="A8" s="5" t="s">
        <v>3</v>
      </c>
      <c r="B8" s="6" t="n"/>
      <c r="C8" s="7" t="n">
        <v>1500000</v>
      </c>
    </row>
    <row r="9">
      <c r="A9" s="5" t="s">
        <v>4</v>
      </c>
      <c r="B9" s="6" t="n"/>
      <c r="C9" s="8" t="n">
        <v>176</v>
      </c>
    </row>
    <row r="10">
      <c r="A10" s="9" t="s">
        <v>5</v>
      </c>
      <c r="B10" s="10" t="n"/>
      <c r="C10" s="11">
        <f>C8/C9</f>
        <v>8522.7272727273</v>
      </c>
    </row>
    <row r="11">
      <c r="A11" s="5" t="s">
        <v>6</v>
      </c>
      <c r="B11" s="6" t="n"/>
      <c r="C11" s="12" t="n">
        <v>14200</v>
      </c>
    </row>
    <row r="12">
      <c r="A12" s="13" t="s">
        <v>7</v>
      </c>
      <c r="B12" s="10" t="n"/>
      <c r="C12" s="14">
        <f>C11*C9</f>
        <v>2499200</v>
      </c>
    </row>
    <row r="14" ht="17" customHeight="1">
      <c r="A14" s="4" t="s">
        <v>8</v>
      </c>
      <c r="B14" s="4" t="n"/>
      <c r="C14" s="4" t="n"/>
    </row>
    <row r="15">
      <c r="A15" s="15" t="s">
        <v>9</v>
      </c>
      <c r="B15" s="15" t="s">
        <v>10</v>
      </c>
      <c r="C15" s="16" t="s">
        <v>11</v>
      </c>
    </row>
    <row r="16">
      <c r="A16" s="9" t="s">
        <v>12</v>
      </c>
      <c r="B16" s="17" t="s">
        <v>13</v>
      </c>
      <c r="C16" s="18" t="n">
        <v>45375</v>
      </c>
    </row>
    <row r="17">
      <c r="A17" s="9" t="n"/>
      <c r="B17" s="17" t="s">
        <v>14</v>
      </c>
      <c r="C17" s="18" t="n">
        <v>1270.5</v>
      </c>
    </row>
    <row r="18">
      <c r="A18" s="9" t="n"/>
      <c r="B18" s="17" t="s">
        <v>15</v>
      </c>
      <c r="C18" s="18" t="n">
        <v>30000</v>
      </c>
    </row>
    <row r="19">
      <c r="A19" s="9" t="n"/>
      <c r="B19" s="17" t="s">
        <v>16</v>
      </c>
      <c r="C19" s="18" t="n">
        <v>2700</v>
      </c>
    </row>
    <row r="20">
      <c r="A20" s="9" t="n"/>
      <c r="B20" s="17" t="s">
        <v>17</v>
      </c>
      <c r="C20" s="18" t="n">
        <v>494</v>
      </c>
    </row>
    <row r="21">
      <c r="A21" s="9" t="n"/>
      <c r="B21" s="17" t="s">
        <v>18</v>
      </c>
      <c r="C21" s="18" t="n">
        <v>1600</v>
      </c>
    </row>
    <row r="22">
      <c r="A22" s="9" t="n"/>
      <c r="B22" s="17" t="s">
        <v>19</v>
      </c>
      <c r="C22" s="18" t="n">
        <v>875</v>
      </c>
    </row>
    <row r="23">
      <c r="A23" s="19" t="s">
        <v>20</v>
      </c>
      <c r="B23" s="20" t="n"/>
      <c r="C23" s="21">
        <f>SUM(C16:C22)</f>
        <v>82314.5</v>
      </c>
    </row>
    <row r="24">
      <c r="A24" s="9" t="s">
        <v>21</v>
      </c>
      <c r="B24" s="17" t="s">
        <v>22</v>
      </c>
      <c r="C24" s="18" t="n">
        <v>605</v>
      </c>
    </row>
    <row r="25">
      <c r="A25" s="9" t="n"/>
      <c r="B25" s="17" t="s">
        <v>23</v>
      </c>
      <c r="C25" s="18" t="n">
        <v>9000</v>
      </c>
    </row>
    <row r="26">
      <c r="A26" s="9" t="n"/>
      <c r="B26" s="17" t="s">
        <v>24</v>
      </c>
      <c r="C26" s="18" t="n">
        <v>2475</v>
      </c>
    </row>
    <row r="27">
      <c r="A27" s="9" t="n"/>
      <c r="B27" s="17" t="s">
        <v>25</v>
      </c>
      <c r="C27" s="18" t="n">
        <v>1200</v>
      </c>
    </row>
    <row r="28">
      <c r="A28" s="9" t="n"/>
      <c r="B28" s="17" t="s">
        <v>26</v>
      </c>
      <c r="C28" s="18" t="n">
        <v>38000</v>
      </c>
    </row>
    <row r="29">
      <c r="A29" s="9" t="n"/>
      <c r="B29" s="17" t="s">
        <v>27</v>
      </c>
      <c r="C29" s="18" t="n">
        <v>35062.5</v>
      </c>
    </row>
    <row r="30">
      <c r="A30" s="9" t="n"/>
      <c r="B30" s="17" t="s">
        <v>28</v>
      </c>
      <c r="C30" s="18" t="n">
        <v>649.51</v>
      </c>
    </row>
    <row r="31">
      <c r="A31" s="9" t="n"/>
      <c r="B31" s="17" t="s">
        <v>16</v>
      </c>
      <c r="C31" s="18" t="n">
        <v>2000</v>
      </c>
    </row>
    <row r="32">
      <c r="A32" s="9" t="n"/>
      <c r="B32" s="17" t="s">
        <v>17</v>
      </c>
      <c r="C32" s="18" t="n">
        <v>494</v>
      </c>
    </row>
    <row r="33">
      <c r="A33" s="9" t="n"/>
      <c r="B33" s="17" t="s">
        <v>18</v>
      </c>
      <c r="C33" s="18" t="n">
        <v>900</v>
      </c>
    </row>
    <row r="34">
      <c r="A34" s="19" t="s">
        <v>29</v>
      </c>
      <c r="B34" s="20" t="n"/>
      <c r="C34" s="21">
        <f>SUM(C24:C33)</f>
        <v>90386.01</v>
      </c>
    </row>
    <row r="35">
      <c r="A35" s="9" t="s">
        <v>30</v>
      </c>
      <c r="B35" s="17" t="s">
        <v>31</v>
      </c>
      <c r="C35" s="18" t="n">
        <v>703.9400000000001</v>
      </c>
    </row>
    <row r="36">
      <c r="A36" s="9" t="n"/>
      <c r="B36" s="17" t="s">
        <v>32</v>
      </c>
      <c r="C36" s="18" t="n">
        <v>150</v>
      </c>
    </row>
    <row r="37">
      <c r="A37" s="9" t="n"/>
      <c r="B37" s="17" t="s">
        <v>33</v>
      </c>
      <c r="C37" s="18" t="n">
        <v>325000</v>
      </c>
    </row>
    <row r="38">
      <c r="A38" s="9" t="n"/>
      <c r="B38" s="17" t="s">
        <v>34</v>
      </c>
      <c r="C38" s="18" t="n">
        <v>30000</v>
      </c>
    </row>
    <row r="39">
      <c r="A39" s="9" t="n"/>
      <c r="B39" s="17" t="s">
        <v>35</v>
      </c>
      <c r="C39" s="18" t="n">
        <v>15000</v>
      </c>
    </row>
    <row r="40">
      <c r="A40" s="9" t="n"/>
      <c r="B40" s="17" t="s">
        <v>36</v>
      </c>
      <c r="C40" s="18" t="n">
        <v>6500</v>
      </c>
    </row>
    <row r="41">
      <c r="A41" s="9" t="n"/>
      <c r="B41" s="17" t="s">
        <v>37</v>
      </c>
      <c r="C41" s="18" t="n">
        <v>5300</v>
      </c>
    </row>
    <row r="42">
      <c r="A42" s="19" t="s">
        <v>38</v>
      </c>
      <c r="B42" s="20" t="n"/>
      <c r="C42" s="21">
        <f>SUM(C35:C41)</f>
        <v>382653.94</v>
      </c>
    </row>
    <row r="43">
      <c r="A43" s="9" t="s">
        <v>39</v>
      </c>
      <c r="B43" s="17" t="s">
        <v>40</v>
      </c>
      <c r="C43" s="18" t="n">
        <v>900</v>
      </c>
    </row>
    <row r="44">
      <c r="A44" s="9" t="n"/>
      <c r="B44" s="17" t="s">
        <v>41</v>
      </c>
      <c r="C44" s="18" t="n">
        <v>400</v>
      </c>
    </row>
    <row r="45">
      <c r="A45" s="9" t="n"/>
      <c r="B45" s="17" t="s">
        <v>13</v>
      </c>
      <c r="C45" s="18">
        <f>ROUND($C$12*0.0363,2)</f>
        <v>90720.96</v>
      </c>
    </row>
    <row r="46">
      <c r="A46" s="9" t="n"/>
      <c r="B46" s="17" t="s">
        <v>42</v>
      </c>
      <c r="C46" s="18" t="n">
        <v>15000</v>
      </c>
    </row>
    <row r="47">
      <c r="A47" s="9" t="n"/>
      <c r="B47" s="17" t="s">
        <v>45</v>
      </c>
      <c r="C47" s="18" t="n">
        <v>1237.5</v>
      </c>
    </row>
    <row r="48">
      <c r="A48" s="9" t="n"/>
      <c r="B48" s="17" t="s">
        <v>46</v>
      </c>
      <c r="C48" s="18" t="n">
        <v>494</v>
      </c>
    </row>
    <row r="49">
      <c r="A49" s="9" t="n"/>
      <c r="B49" s="17" t="s">
        <v>47</v>
      </c>
      <c r="C49" s="18" t="n">
        <v>1000</v>
      </c>
    </row>
    <row r="50">
      <c r="A50" s="19" t="s">
        <v>43</v>
      </c>
      <c r="B50" s="20" t="n"/>
      <c r="C50" s="21">
        <f>SUM(C43:C49)</f>
        <v>109752.46</v>
      </c>
    </row>
    <row r="52" ht="17" customHeight="1">
      <c r="A52" s="4" t="s">
        <v>94</v>
      </c>
      <c r="B52" s="4" t="n"/>
      <c r="C52" s="4" t="n"/>
    </row>
    <row r="53">
      <c r="A53" s="9" t="s">
        <v>50</v>
      </c>
      <c r="B53" s="10" t="n"/>
      <c r="C53" s="18">
        <f>$C$8</f>
        <v>1500000</v>
      </c>
    </row>
    <row r="54">
      <c r="A54" s="9" t="s">
        <v>51</v>
      </c>
      <c r="B54" s="10" t="n"/>
      <c r="C54" s="18">
        <f>C23</f>
        <v>82314.5</v>
      </c>
    </row>
    <row r="55">
      <c r="A55" s="9" t="s">
        <v>95</v>
      </c>
      <c r="B55" s="10" t="n"/>
      <c r="C55" s="18">
        <f>C34</f>
        <v>90386.01</v>
      </c>
    </row>
    <row r="56">
      <c r="A56" s="9" t="s">
        <v>52</v>
      </c>
      <c r="B56" s="10" t="n"/>
      <c r="C56" s="18">
        <f>C42</f>
        <v>382653.94</v>
      </c>
    </row>
    <row r="57">
      <c r="A57" s="9" t="s">
        <v>40</v>
      </c>
      <c r="B57" s="10" t="n"/>
      <c r="C57" s="18" t="n">
        <v>900</v>
      </c>
    </row>
    <row r="58" ht="18" customHeight="1">
      <c r="A58" s="22" t="s">
        <v>53</v>
      </c>
      <c r="B58" s="23" t="n"/>
      <c r="C58" s="24">
        <f>SUM(C53:C57)</f>
        <v>2056254.45</v>
      </c>
    </row>
    <row r="60" ht="17" customHeight="1">
      <c r="A60" s="4" t="s">
        <v>54</v>
      </c>
      <c r="B60" s="4" t="n"/>
      <c r="C60" s="4" t="n"/>
    </row>
    <row r="61">
      <c r="A61" s="5" t="s">
        <v>96</v>
      </c>
      <c r="B61" s="25" t="s">
        <v>97</v>
      </c>
      <c r="C61" s="7" t="n">
        <v>825000</v>
      </c>
    </row>
    <row r="62">
      <c r="A62" s="5" t="s">
        <v>60</v>
      </c>
      <c r="B62" s="25" t="s">
        <v>61</v>
      </c>
      <c r="C62" s="7" t="n">
        <v>325000</v>
      </c>
    </row>
    <row r="63">
      <c r="A63" s="13" t="s">
        <v>62</v>
      </c>
      <c r="B63" s="17" t="s">
        <v>63</v>
      </c>
      <c r="C63" s="14">
        <f>C58-C61-C62</f>
        <v>906254.45</v>
      </c>
    </row>
    <row r="64">
      <c r="A64" s="19" t="s">
        <v>64</v>
      </c>
      <c r="B64" s="20" t="n"/>
      <c r="C64" s="21">
        <f>SUM(C61:C63)</f>
        <v>2056254.45</v>
      </c>
    </row>
    <row r="66" ht="17" customHeight="1">
      <c r="A66" s="4" t="s">
        <v>70</v>
      </c>
      <c r="B66" s="4" t="n"/>
      <c r="C66" s="4" t="n"/>
    </row>
    <row r="67">
      <c r="A67" s="9" t="s">
        <v>98</v>
      </c>
      <c r="B67" s="17" t="s">
        <v>99</v>
      </c>
      <c r="C67" s="18">
        <f>$C$8+C23+C34+C42+C50-38000</f>
        <v>2127106.91</v>
      </c>
    </row>
    <row r="68">
      <c r="A68" s="9" t="s">
        <v>7</v>
      </c>
      <c r="B68" s="10" t="n"/>
      <c r="C68" s="18">
        <f>$C$12</f>
        <v>2499200</v>
      </c>
    </row>
    <row r="69" ht="18" customHeight="1">
      <c r="A69" s="22" t="s">
        <v>100</v>
      </c>
      <c r="B69" s="23" t="n"/>
      <c r="C69" s="24">
        <f>$C$12-C67</f>
        <v>372093.0899999999</v>
      </c>
    </row>
    <row r="70">
      <c r="A70" s="5" t="s">
        <v>75</v>
      </c>
      <c r="B70" s="25" t="s">
        <v>76</v>
      </c>
      <c r="C70" s="7" t="n">
        <v>71924.83</v>
      </c>
    </row>
    <row r="71">
      <c r="A71" s="9" t="s">
        <v>77</v>
      </c>
      <c r="B71" s="17" t="s">
        <v>78</v>
      </c>
      <c r="C71" s="18">
        <f>ROUND((C69-C70)*0.242,2)</f>
        <v>72640.72</v>
      </c>
    </row>
    <row r="72">
      <c r="A72" s="9" t="s">
        <v>101</v>
      </c>
      <c r="B72" s="17" t="s">
        <v>102</v>
      </c>
      <c r="C72" s="18">
        <f>ROUND(C61*0.02*1.21,2)</f>
        <v>19965</v>
      </c>
    </row>
    <row r="73">
      <c r="A73" s="13" t="s">
        <v>80</v>
      </c>
      <c r="B73" s="17" t="s">
        <v>103</v>
      </c>
      <c r="C73" s="14">
        <f>C69-C70-C71-C72</f>
        <v>207562.5399999998</v>
      </c>
    </row>
    <row r="74" ht="18" customHeight="1">
      <c r="A74" s="22" t="s">
        <v>82</v>
      </c>
      <c r="B74" s="23" t="n"/>
      <c r="C74" s="29">
        <f>(C73+C71+C72)/C63*100</f>
        <v>33.1218522568</v>
      </c>
    </row>
    <row r="75">
      <c r="A75" s="9" t="s">
        <v>83</v>
      </c>
      <c r="B75" s="17" t="s">
        <v>84</v>
      </c>
      <c r="C75" s="26">
        <f>C73/C63*100</f>
        <v>22.9033402264</v>
      </c>
    </row>
    <row r="77" ht="17" customHeight="1">
      <c r="A77" s="4" t="s">
        <v>85</v>
      </c>
      <c r="B77" s="4" t="n"/>
      <c r="C77" s="4" t="n"/>
    </row>
    <row r="78" ht="18.5" customHeight="1">
      <c r="A78" s="30" t="s">
        <v>104</v>
      </c>
    </row>
    <row r="79" ht="18.5" customHeight="1"/>
    <row r="80" ht="24" customHeight="1">
      <c r="A80" s="30" t="s">
        <v>105</v>
      </c>
    </row>
    <row r="81" ht="24" customHeight="1"/>
    <row r="82" ht="18.5" customHeight="1">
      <c r="A82" s="30" t="s">
        <v>106</v>
      </c>
    </row>
    <row r="83" ht="18.5" customHeight="1"/>
    <row r="84" ht="13" customHeight="1">
      <c r="A84" s="30" t="s">
        <v>89</v>
      </c>
    </row>
    <row r="85" ht="13" customHeight="1"/>
    <row r="86" ht="13" customHeight="1">
      <c r="A86" s="30" t="s">
        <v>90</v>
      </c>
    </row>
    <row r="87" ht="13" customHeight="1"/>
    <row r="89" ht="18" customHeight="1">
      <c r="A89" s="20" t="n"/>
      <c r="B89" s="20" t="n"/>
      <c r="C89" s="31" t="s">
        <v>91</v>
      </c>
    </row>
  </sheetData>
  <mergeCells count="6">
    <mergeCell ref="A86:C87"/>
    <mergeCell ref="A82:C83"/>
    <mergeCell ref="A80:C81"/>
    <mergeCell ref="A84:C85"/>
    <mergeCell ref="A78:C79"/>
    <mergeCell ref="A4:C4"/>
  </mergeCells>
  <printOptions horizontalCentered="1"/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2026-09-23T19:43:33Z</dcterms:created>
  <dcterms:modified xsi:type="dcterms:W3CDTF">2026-09-23T19:43:33Z</dcterms:modified>
</cp:coreProperties>
</file>